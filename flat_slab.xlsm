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cipi\github\excel_rc\"/>
    </mc:Choice>
  </mc:AlternateContent>
  <xr:revisionPtr revIDLastSave="0" documentId="8_{57B4249B-7005-494B-8773-5958BCF0EFB6}" xr6:coauthVersionLast="45" xr6:coauthVersionMax="45" xr10:uidLastSave="{00000000-0000-0000-0000-000000000000}"/>
  <bookViews>
    <workbookView xWindow="-120" yWindow="-120" windowWidth="20730" windowHeight="11160" xr2:uid="{A691D628-1A29-47E4-8A23-DFDBF6C9A15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" l="1"/>
  <c r="E4" i="1"/>
  <c r="E5" i="1" s="1"/>
  <c r="H10" i="1" a="1"/>
  <c r="H19" i="1" a="1"/>
  <c r="H20" i="1" a="1"/>
  <c r="C16" i="1" a="1"/>
  <c r="C17" i="1" a="1"/>
  <c r="H17" i="1" a="1"/>
  <c r="G18" i="1" a="1"/>
  <c r="C19" i="1" a="1"/>
  <c r="C20" i="1" a="1"/>
  <c r="C11" i="1" a="1"/>
  <c r="C13" i="1" a="1"/>
  <c r="C10" i="1" a="1"/>
  <c r="G14" i="1" a="1"/>
  <c r="H12" i="1" a="1"/>
  <c r="G11" i="1" a="1"/>
  <c r="G10" i="1" a="1"/>
  <c r="H16" i="1" a="1"/>
  <c r="G20" i="1" a="1"/>
  <c r="G16" i="1" a="1"/>
  <c r="G17" i="1" a="1"/>
  <c r="C18" i="1" a="1"/>
  <c r="H18" i="1" a="1"/>
  <c r="G19" i="1" a="1"/>
  <c r="G13" i="1" a="1"/>
  <c r="C12" i="1" a="1"/>
  <c r="C14" i="1" a="1"/>
  <c r="H13" i="1" a="1"/>
  <c r="H14" i="1" a="1"/>
  <c r="H11" i="1" a="1"/>
  <c r="G12" i="1" a="1"/>
  <c r="H10" i="1" l="1"/>
  <c r="H19" i="1"/>
  <c r="H16" i="1"/>
  <c r="H20" i="1"/>
  <c r="G20" i="1"/>
  <c r="C20" i="1"/>
  <c r="G19" i="1"/>
  <c r="C19" i="1"/>
  <c r="H18" i="1"/>
  <c r="G18" i="1"/>
  <c r="C18" i="1"/>
  <c r="H17" i="1"/>
  <c r="G17" i="1"/>
  <c r="C17" i="1"/>
  <c r="G16" i="1"/>
  <c r="C16" i="1"/>
  <c r="G13" i="1"/>
  <c r="C14" i="1"/>
  <c r="C13" i="1"/>
  <c r="C12" i="1"/>
  <c r="C11" i="1"/>
  <c r="C10" i="1"/>
  <c r="H14" i="1"/>
  <c r="G14" i="1"/>
  <c r="H13" i="1"/>
  <c r="H12" i="1"/>
  <c r="H11" i="1"/>
  <c r="G12" i="1"/>
  <c r="G11" i="1"/>
  <c r="G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<sst xmlns="http://schemas.openxmlformats.org/spreadsheetml/2006/main" count="18" uniqueCount="18">
  <si>
    <t>仕上げ</t>
    <rPh sb="0" eb="2">
      <t>シア</t>
    </rPh>
    <phoneticPr fontId="1"/>
  </si>
  <si>
    <t>L(スパン）</t>
    <phoneticPr fontId="1"/>
  </si>
  <si>
    <t>Σ＝</t>
    <phoneticPr fontId="1"/>
  </si>
  <si>
    <t>t(スラブ厚)</t>
    <rPh sb="5" eb="6">
      <t>アツ</t>
    </rPh>
    <phoneticPr fontId="1"/>
  </si>
  <si>
    <t>Mf1</t>
    <phoneticPr fontId="1"/>
  </si>
  <si>
    <t>Mf3</t>
    <phoneticPr fontId="1"/>
  </si>
  <si>
    <t>Mf5</t>
    <phoneticPr fontId="1"/>
  </si>
  <si>
    <t>Mg1</t>
    <phoneticPr fontId="1"/>
  </si>
  <si>
    <t>Mg2</t>
    <phoneticPr fontId="1"/>
  </si>
  <si>
    <t>Mg3</t>
    <phoneticPr fontId="1"/>
  </si>
  <si>
    <t>Mg5</t>
    <phoneticPr fontId="1"/>
  </si>
  <si>
    <t>g(固定荷重）</t>
    <rPh sb="2" eb="4">
      <t>コテイ</t>
    </rPh>
    <rPh sb="4" eb="6">
      <t>カジュウ</t>
    </rPh>
    <phoneticPr fontId="1"/>
  </si>
  <si>
    <t>p(積載荷重）</t>
    <rPh sb="2" eb="4">
      <t>セキサイ</t>
    </rPh>
    <rPh sb="4" eb="6">
      <t>カジュウ</t>
    </rPh>
    <phoneticPr fontId="1"/>
  </si>
  <si>
    <t>柱列帯</t>
    <rPh sb="0" eb="1">
      <t>チュウ</t>
    </rPh>
    <rPh sb="1" eb="2">
      <t>レツ</t>
    </rPh>
    <rPh sb="2" eb="3">
      <t>オビ</t>
    </rPh>
    <phoneticPr fontId="1"/>
  </si>
  <si>
    <t>Mg4</t>
    <phoneticPr fontId="1"/>
  </si>
  <si>
    <t>柱間帯</t>
    <rPh sb="0" eb="1">
      <t>ハシラ</t>
    </rPh>
    <rPh sb="1" eb="2">
      <t>アイダ</t>
    </rPh>
    <rPh sb="2" eb="3">
      <t>オビ</t>
    </rPh>
    <phoneticPr fontId="1"/>
  </si>
  <si>
    <t>Mf2</t>
    <phoneticPr fontId="1"/>
  </si>
  <si>
    <t>Mf4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</si>
</sst>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_ "/>
    <numFmt numFmtId="177" formatCode="0.000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vertical="center" inden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0" applyNumberFormat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8659-6FCE-42A9-A2D4-642192DF7692}">
  <sheetPr codeName="Sheet1"/>
  <dimension ref="B3:H20"/>
  <sheetViews>
    <sheetView tabSelected="1" workbookViewId="0">
      <selection activeCell="B22" sqref="B22"/>
    </sheetView>
  </sheetViews>
  <sheetFormatPr defaultRowHeight="18.75" x14ac:dyDescent="0.4"/>
  <cols>
    <col min="1" max="1" width="4.625" customWidth="1"/>
    <col min="2" max="11" width="8.625" customWidth="1"/>
  </cols>
  <sheetData>
    <row r="3" spans="2:8" x14ac:dyDescent="0.4">
      <c r="C3" s="2" t="s">
        <v>0</v>
      </c>
      <c r="E3">
        <v>10060</v>
      </c>
    </row>
    <row r="4" spans="2:8" x14ac:dyDescent="0.4">
      <c r="C4" s="2" t="s">
        <v>3</v>
      </c>
      <c r="D4">
        <v>150</v>
      </c>
      <c r="E4">
        <f>D4*24000/1000</f>
        <v>3600</v>
      </c>
    </row>
    <row r="5" spans="2:8" x14ac:dyDescent="0.4">
      <c r="C5" s="2"/>
      <c r="D5" s="3" t="s">
        <v>2</v>
      </c>
      <c r="E5">
        <f>SUM(E3:E4)</f>
        <v>13660</v>
      </c>
    </row>
    <row r="6" spans="2:8" x14ac:dyDescent="0.4">
      <c r="C6" s="2"/>
      <c r="D6" s="3"/>
    </row>
    <row r="7" spans="2:8" x14ac:dyDescent="0.4">
      <c r="B7" s="5" t="s">
        <v>1</v>
      </c>
      <c r="C7" s="5"/>
      <c r="D7" s="5" t="s">
        <v>11</v>
      </c>
      <c r="E7" s="5"/>
      <c r="F7" s="5" t="s">
        <v>12</v>
      </c>
      <c r="G7" s="5"/>
    </row>
    <row r="8" spans="2:8" x14ac:dyDescent="0.4">
      <c r="B8" s="4">
        <v>4</v>
      </c>
      <c r="C8" s="4"/>
      <c r="D8" s="4">
        <f>E5</f>
        <v>13660</v>
      </c>
      <c r="E8" s="4"/>
      <c r="F8" s="4">
        <v>2900</v>
      </c>
      <c r="G8" s="4"/>
    </row>
    <row r="9" spans="2:8" x14ac:dyDescent="0.4">
      <c r="B9" t="s">
        <v>13</v>
      </c>
    </row>
    <row r="10" spans="2:8" x14ac:dyDescent="0.4">
      <c r="B10" t="s">
        <v>7</v>
      </c>
      <c r="C10" s="1" t="str" cm="1">
        <f t="array" ref="C10">flat_slab(B$8,D$8/10000,F$8/1000,B10,3)</f>
        <v>上端筋</v>
      </c>
      <c r="G10" s="7" t="str" cm="1">
        <f t="array" ref="G10">flat_slab(B$8,D$8/10000,F$8/1000,B10,2)</f>
        <v>Mg1=L ^ 2 / 12 * (g + p=</v>
      </c>
      <c r="H10" s="6" cm="1">
        <f t="array" ref="H10">ROUND(flat_slab(B$8,D$8/1000,F$8/1000,B10,1),4)</f>
        <v>22.08</v>
      </c>
    </row>
    <row r="11" spans="2:8" x14ac:dyDescent="0.4">
      <c r="B11" t="s">
        <v>9</v>
      </c>
      <c r="C11" s="1" t="str" cm="1">
        <f t="array" ref="C11">flat_slab(B$8,D$8/10000,F$8/1000,B11,3)</f>
        <v>上端筋</v>
      </c>
      <c r="G11" s="7" t="str" cm="1">
        <f t="array" ref="G11">flat_slab(B$8,D$8/10000,F$8/1000,B11,2)</f>
        <v>Mg1=L ^ 2 / 8 * (g + p)=</v>
      </c>
      <c r="H11" s="6" cm="1">
        <f t="array" ref="H11">ROUND(flat_slab(B$8,D$8/1000,F$8/1000,B11,1),4)</f>
        <v>33.119999999999997</v>
      </c>
    </row>
    <row r="12" spans="2:8" x14ac:dyDescent="0.4">
      <c r="B12" t="s">
        <v>10</v>
      </c>
      <c r="C12" s="1" t="str" cm="1">
        <f t="array" ref="C12">flat_slab(B$8,D$8/10000,F$8/1000,B12,3)</f>
        <v>上端筋</v>
      </c>
      <c r="G12" s="7" t="str" cm="1">
        <f t="array" ref="G12">flat_slab(B$8,D$8/10000,F$8/1000,B12,2)</f>
        <v>Mg1=L ^ 2 / 10 * (g + p)=</v>
      </c>
      <c r="H12" s="6" cm="1">
        <f t="array" ref="H12">ROUND(flat_slab(B$8,D$8/1000,F$8/1000,B12,1),4)</f>
        <v>26.495999999999999</v>
      </c>
    </row>
    <row r="13" spans="2:8" x14ac:dyDescent="0.4">
      <c r="B13" t="s">
        <v>8</v>
      </c>
      <c r="C13" s="1" t="str" cm="1">
        <f t="array" ref="C13">flat_slab(B$8,D$8/10000,F$8/1000,B13,3)</f>
        <v>下端筋</v>
      </c>
      <c r="G13" s="7" t="str" cm="1">
        <f t="array" ref="G13">flat_slab(B$8,D$8/10000,F$8/1000,B13,2)</f>
        <v>Mg1=L ^ 2 * (g / 20 + p / 13)=</v>
      </c>
      <c r="H13" s="6" cm="1">
        <f t="array" ref="H13">ROUND(flat_slab(B$8,D$8/1000,F$8/1000,B13,1),4)</f>
        <v>14.497199999999999</v>
      </c>
    </row>
    <row r="14" spans="2:8" x14ac:dyDescent="0.4">
      <c r="B14" t="s">
        <v>14</v>
      </c>
      <c r="C14" s="1" t="str" cm="1">
        <f t="array" ref="C14">flat_slab(B$8,D$8/10000,F$8/1000,B14,3)</f>
        <v>下端筋</v>
      </c>
      <c r="G14" s="7" t="str" cm="1">
        <f t="array" ref="G14">flat_slab(B$8,D$8/10000,F$8/1000,B14,2)</f>
        <v>Mg1=L ^ 2 * (g / 26 + p / 13)=</v>
      </c>
      <c r="H14" s="6" cm="1">
        <f t="array" ref="H14">ROUND(flat_slab(B$8,D$8/1000,F$8/1000,B14,1),4)</f>
        <v>11.9754</v>
      </c>
    </row>
    <row r="15" spans="2:8" x14ac:dyDescent="0.4">
      <c r="B15" t="s">
        <v>15</v>
      </c>
      <c r="C15" s="1"/>
      <c r="G15" s="7"/>
      <c r="H15" s="6"/>
    </row>
    <row r="16" spans="2:8" x14ac:dyDescent="0.4">
      <c r="B16" t="s">
        <v>4</v>
      </c>
      <c r="C16" s="1" t="str" cm="1">
        <f t="array" ref="C16">flat_slab(B$8,D$8/10000,F$8/1000,B16,3)</f>
        <v>上端筋</v>
      </c>
      <c r="G16" s="7" t="str" cm="1">
        <f t="array" ref="G16">flat_slab(B$8,D$8/10000,F$8/1000,B16,2)</f>
        <v>Mf1=L ^ 2 / 36 * (g + p)=</v>
      </c>
      <c r="H16" s="6" cm="1">
        <f t="array" ref="H16">ROUND(flat_slab(B$8,D$8/1000,F$8/1000,B16,1),4)</f>
        <v>7.36</v>
      </c>
    </row>
    <row r="17" spans="2:8" x14ac:dyDescent="0.4">
      <c r="B17" t="s">
        <v>5</v>
      </c>
      <c r="C17" s="1" t="str" cm="1">
        <f t="array" ref="C17">flat_slab(B$8,D$8/10000,F$8/1000,B17,3)</f>
        <v>上端筋</v>
      </c>
      <c r="G17" s="7" t="str" cm="1">
        <f t="array" ref="G17">flat_slab(B$8,D$8/10000,F$8/1000,B17,2)</f>
        <v>Mf1=L ^ 2 / 24 * (g + p)=</v>
      </c>
      <c r="H17" s="6" cm="1">
        <f t="array" ref="H17">ROUND(flat_slab(B$8,D$8/1000,F$8/1000,B17,1),4)</f>
        <v>11.04</v>
      </c>
    </row>
    <row r="18" spans="2:8" x14ac:dyDescent="0.4">
      <c r="B18" t="s">
        <v>6</v>
      </c>
      <c r="C18" s="1" t="str" cm="1">
        <f t="array" ref="C18">flat_slab(B$8,D$8/10000,F$8/1000,B18,3)</f>
        <v>上端筋</v>
      </c>
      <c r="G18" s="7" t="str" cm="1">
        <f t="array" ref="G18">flat_slab(B$8,D$8/10000,F$8/1000,B18,2)</f>
        <v>Mf1=L ^ 2 / 30 * (g + p)=</v>
      </c>
      <c r="H18" s="6" cm="1">
        <f t="array" ref="H18">ROUND(flat_slab(B$8,D$8/1000,F$8/1000,B18,1),4)</f>
        <v>8.8320000000000007</v>
      </c>
    </row>
    <row r="19" spans="2:8" x14ac:dyDescent="0.4">
      <c r="B19" t="s">
        <v>16</v>
      </c>
      <c r="C19" s="1" t="str" cm="1">
        <f t="array" ref="C19">flat_slab(B$8,D$8/10000,F$8/1000,B19,3)</f>
        <v>下端筋</v>
      </c>
      <c r="G19" s="7" t="str" cm="1">
        <f t="array" ref="G19">flat_slab(B$8,D$8/10000,F$8/1000,B19,2)</f>
        <v>Mg1=L ^ 2 * (g / 26 + p / 16)=</v>
      </c>
      <c r="H19" s="6" cm="1">
        <f t="array" ref="H19">ROUND(flat_slab(B$8,D$8/1000,F$8/1000,B19,1),4)</f>
        <v>11.3062</v>
      </c>
    </row>
    <row r="20" spans="2:8" x14ac:dyDescent="0.4">
      <c r="B20" t="s">
        <v>17</v>
      </c>
      <c r="C20" s="1" t="str" cm="1">
        <f t="array" ref="C20">flat_slab(B$8,D$8/10000,F$8/1000,B20,3)</f>
        <v>下端筋</v>
      </c>
      <c r="G20" s="7" t="str" cm="1">
        <f t="array" ref="G20">flat_slab(B$8,D$8/10000,F$8/1000,B20,2)</f>
        <v>Mg1=L ^ 2 * (g / 32 + p / 16)=</v>
      </c>
      <c r="H20" s="6" cm="1">
        <f t="array" ref="H20">ROUND(flat_slab(B$8,D$8/1000,F$8/1000,B20,1),4)</f>
        <v>9.73</v>
      </c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Makoto Matsushita</dc:creator>
  <cp:lastModifiedBy>Matsushita Makoto</cp:lastModifiedBy>
  <cp:lastPrinted>2020-10-24T02:44:14Z</cp:lastPrinted>
  <dcterms:created xsi:type="dcterms:W3CDTF">2020-10-24T01:40:51Z</dcterms:created>
  <dcterms:modified xsi:type="dcterms:W3CDTF">2020-10-26T11:41:50Z</dcterms:modified>
</cp:coreProperties>
</file>