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ipi\github\excel_rc\"/>
    </mc:Choice>
  </mc:AlternateContent>
  <xr:revisionPtr revIDLastSave="0" documentId="13_ncr:1_{EB0322F6-F0C7-4E58-8339-999F93496E13}" xr6:coauthVersionLast="45" xr6:coauthVersionMax="45" xr10:uidLastSave="{00000000-0000-0000-0000-000000000000}"/>
  <bookViews>
    <workbookView xWindow="-120" yWindow="-120" windowWidth="20730" windowHeight="11160" activeTab="1" xr2:uid="{A691D628-1A29-47E4-8A23-DFDBF6C9A157}"/>
  </bookViews>
  <sheets>
    <sheet name="Sheet1 (3)" sheetId="3" r:id="rId1"/>
    <sheet name="Sheet1" sheetId="1" r:id="rId2"/>
    <sheet name="Sheet1 (2)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3" l="1"/>
  <c r="E36" i="3" s="1"/>
  <c r="E37" i="3" s="1"/>
  <c r="E34" i="3"/>
  <c r="E31" i="3"/>
  <c r="E28" i="3"/>
  <c r="E29" i="3" s="1"/>
  <c r="C23" i="3"/>
  <c r="E5" i="3"/>
  <c r="D8" i="3" s="1"/>
  <c r="E4" i="3"/>
  <c r="H17" i="3" a="1"/>
  <c r="H18" i="3" a="1"/>
  <c r="H19" i="3" a="1"/>
  <c r="H20" i="3" a="1"/>
  <c r="H16" i="3" a="1"/>
  <c r="H11" i="3" a="1"/>
  <c r="H12" i="3" a="1"/>
  <c r="H13" i="3" a="1"/>
  <c r="H14" i="3" a="1"/>
  <c r="H10" i="3" a="1"/>
  <c r="G20" i="3" a="1"/>
  <c r="C19" i="3" a="1"/>
  <c r="G18" i="3" a="1"/>
  <c r="C17" i="3" a="1"/>
  <c r="G16" i="3" a="1"/>
  <c r="C14" i="3" a="1"/>
  <c r="G13" i="3" a="1"/>
  <c r="C12" i="3" a="1"/>
  <c r="G11" i="3" a="1"/>
  <c r="C10" i="3" a="1"/>
  <c r="H20" i="3" l="1"/>
  <c r="H19" i="3"/>
  <c r="H18" i="3"/>
  <c r="H17" i="3"/>
  <c r="C34" i="3" s="1"/>
  <c r="H16" i="3"/>
  <c r="C36" i="3"/>
  <c r="H14" i="3"/>
  <c r="H13" i="3"/>
  <c r="H12" i="3"/>
  <c r="H11" i="3"/>
  <c r="H10" i="3"/>
  <c r="C37" i="3"/>
  <c r="C10" i="3"/>
  <c r="D27" i="3" s="1"/>
  <c r="C27" i="3"/>
  <c r="G11" i="3"/>
  <c r="C12" i="3"/>
  <c r="D29" i="3" s="1"/>
  <c r="C29" i="3"/>
  <c r="G13" i="3"/>
  <c r="C14" i="3"/>
  <c r="D31" i="3" s="1"/>
  <c r="C31" i="3"/>
  <c r="G16" i="3"/>
  <c r="C17" i="3"/>
  <c r="D34" i="3" s="1"/>
  <c r="G18" i="3"/>
  <c r="C19" i="3"/>
  <c r="D36" i="3" s="1"/>
  <c r="G20" i="3"/>
  <c r="E35" i="2"/>
  <c r="E36" i="2" s="1"/>
  <c r="E37" i="2" s="1"/>
  <c r="E34" i="2"/>
  <c r="E31" i="2"/>
  <c r="E28" i="2"/>
  <c r="E29" i="2" s="1"/>
  <c r="C23" i="2"/>
  <c r="E5" i="2"/>
  <c r="D8" i="2" s="1"/>
  <c r="E4" i="2"/>
  <c r="E34" i="1"/>
  <c r="E35" i="1" s="1"/>
  <c r="E36" i="1" s="1"/>
  <c r="E37" i="1" s="1"/>
  <c r="E28" i="1"/>
  <c r="E29" i="1" s="1"/>
  <c r="E31" i="1" s="1"/>
  <c r="C23" i="1"/>
  <c r="F37" i="3" a="1"/>
  <c r="F35" i="3" a="1"/>
  <c r="F33" i="3" a="1"/>
  <c r="F28" i="3" a="1"/>
  <c r="F30" i="3" a="1"/>
  <c r="G10" i="3" a="1"/>
  <c r="C13" i="3" a="1"/>
  <c r="G14" i="3" a="1"/>
  <c r="C18" i="3" a="1"/>
  <c r="G19" i="3" a="1"/>
  <c r="F36" i="2" a="1"/>
  <c r="F34" i="2" a="1"/>
  <c r="F33" i="2" a="1"/>
  <c r="F29" i="2" a="1"/>
  <c r="F31" i="2" a="1"/>
  <c r="G20" i="2" a="1"/>
  <c r="C19" i="2" a="1"/>
  <c r="H17" i="2" a="1"/>
  <c r="G16" i="2" a="1"/>
  <c r="C14" i="2" a="1"/>
  <c r="H12" i="2" a="1"/>
  <c r="G11" i="2" a="1"/>
  <c r="C10" i="2" a="1"/>
  <c r="G17" i="3" a="1"/>
  <c r="C20" i="3" a="1"/>
  <c r="F37" i="2" a="1"/>
  <c r="F28" i="2" a="1"/>
  <c r="F30" i="2" a="1"/>
  <c r="G18" i="2" a="1"/>
  <c r="C17" i="2" a="1"/>
  <c r="G13" i="2" a="1"/>
  <c r="C12" i="2" a="1"/>
  <c r="H20" i="2" a="1"/>
  <c r="F36" i="3" a="1"/>
  <c r="F34" i="3" a="1"/>
  <c r="F29" i="3" a="1"/>
  <c r="F27" i="3" a="1"/>
  <c r="F31" i="3" a="1"/>
  <c r="C11" i="3" a="1"/>
  <c r="G12" i="3" a="1"/>
  <c r="C16" i="3" a="1"/>
  <c r="F35" i="2" a="1"/>
  <c r="F27" i="2" a="1"/>
  <c r="H19" i="2" a="1"/>
  <c r="H14" i="2" a="1"/>
  <c r="H10" i="2" a="1"/>
  <c r="F34" i="1" a="1"/>
  <c r="F36" i="1" a="1"/>
  <c r="F31" i="1" a="1"/>
  <c r="F28" i="1" a="1"/>
  <c r="F27" i="1" a="1"/>
  <c r="F33" i="1" a="1"/>
  <c r="F37" i="1" a="1"/>
  <c r="F30" i="1" a="1"/>
  <c r="F29" i="1" a="1"/>
  <c r="F35" i="1" a="1"/>
  <c r="C35" i="3" l="1"/>
  <c r="C16" i="3"/>
  <c r="D33" i="3" s="1"/>
  <c r="C30" i="3"/>
  <c r="G12" i="3"/>
  <c r="C11" i="3"/>
  <c r="D28" i="3" s="1"/>
  <c r="F31" i="3"/>
  <c r="G31" i="3" s="1"/>
  <c r="F27" i="3"/>
  <c r="G27" i="3" s="1"/>
  <c r="F29" i="3"/>
  <c r="G29" i="3" s="1"/>
  <c r="F34" i="3"/>
  <c r="G34" i="3" s="1"/>
  <c r="F36" i="3"/>
  <c r="G36" i="3" s="1"/>
  <c r="H36" i="3" s="1"/>
  <c r="C20" i="3"/>
  <c r="D37" i="3" s="1"/>
  <c r="G17" i="3"/>
  <c r="G19" i="3"/>
  <c r="C18" i="3"/>
  <c r="D35" i="3" s="1"/>
  <c r="C33" i="3"/>
  <c r="G14" i="3"/>
  <c r="C13" i="3"/>
  <c r="D30" i="3" s="1"/>
  <c r="C28" i="3"/>
  <c r="H28" i="3" s="1"/>
  <c r="G10" i="3"/>
  <c r="F30" i="3"/>
  <c r="G30" i="3" s="1"/>
  <c r="F28" i="3"/>
  <c r="G28" i="3" s="1"/>
  <c r="F33" i="3"/>
  <c r="G33" i="3" s="1"/>
  <c r="F35" i="3"/>
  <c r="G35" i="3" s="1"/>
  <c r="F37" i="3"/>
  <c r="G37" i="3" s="1"/>
  <c r="H34" i="3"/>
  <c r="H29" i="3"/>
  <c r="H31" i="3"/>
  <c r="H27" i="3"/>
  <c r="H37" i="3"/>
  <c r="F36" i="2"/>
  <c r="F37" i="2"/>
  <c r="F35" i="2"/>
  <c r="F34" i="2"/>
  <c r="F33" i="2"/>
  <c r="F29" i="2"/>
  <c r="F28" i="2"/>
  <c r="F27" i="2"/>
  <c r="F31" i="2"/>
  <c r="F30" i="2"/>
  <c r="H20" i="2"/>
  <c r="C37" i="2" s="1"/>
  <c r="C10" i="2"/>
  <c r="D27" i="2" s="1"/>
  <c r="H10" i="2"/>
  <c r="C27" i="2" s="1"/>
  <c r="G11" i="2"/>
  <c r="C12" i="2"/>
  <c r="D29" i="2" s="1"/>
  <c r="H12" i="2"/>
  <c r="C29" i="2" s="1"/>
  <c r="G13" i="2"/>
  <c r="C14" i="2"/>
  <c r="D31" i="2" s="1"/>
  <c r="H14" i="2"/>
  <c r="C31" i="2" s="1"/>
  <c r="G16" i="2"/>
  <c r="C17" i="2"/>
  <c r="D34" i="2" s="1"/>
  <c r="H17" i="2"/>
  <c r="C34" i="2" s="1"/>
  <c r="G18" i="2"/>
  <c r="C19" i="2"/>
  <c r="D36" i="2" s="1"/>
  <c r="H19" i="2"/>
  <c r="C36" i="2" s="1"/>
  <c r="G20" i="2"/>
  <c r="F35" i="1"/>
  <c r="G35" i="1" s="1"/>
  <c r="F34" i="1"/>
  <c r="G34" i="1" s="1"/>
  <c r="F33" i="1"/>
  <c r="G33" i="1" s="1"/>
  <c r="F37" i="1"/>
  <c r="G37" i="1" s="1"/>
  <c r="F36" i="1"/>
  <c r="G36" i="1" s="1"/>
  <c r="F31" i="1"/>
  <c r="G31" i="1" s="1"/>
  <c r="F30" i="1"/>
  <c r="G30" i="1" s="1"/>
  <c r="F29" i="1"/>
  <c r="G29" i="1" s="1"/>
  <c r="F28" i="1"/>
  <c r="G28" i="1" s="1"/>
  <c r="F27" i="1"/>
  <c r="G27" i="1" s="1"/>
  <c r="E4" i="1"/>
  <c r="E5" i="1" s="1"/>
  <c r="D8" i="1" s="1"/>
  <c r="I34" i="3" a="1"/>
  <c r="I27" i="3" a="1"/>
  <c r="H11" i="2" a="1"/>
  <c r="G14" i="2" a="1"/>
  <c r="C18" i="2" a="1"/>
  <c r="C11" i="2" a="1"/>
  <c r="H13" i="2" a="1"/>
  <c r="G17" i="2" a="1"/>
  <c r="C20" i="2" a="1"/>
  <c r="I28" i="3" a="1"/>
  <c r="I29" i="3" a="1"/>
  <c r="I31" i="3" a="1"/>
  <c r="I37" i="3" a="1"/>
  <c r="G10" i="2" a="1"/>
  <c r="C13" i="2" a="1"/>
  <c r="H16" i="2" a="1"/>
  <c r="G19" i="2" a="1"/>
  <c r="G12" i="2" a="1"/>
  <c r="C16" i="2" a="1"/>
  <c r="H18" i="2" a="1"/>
  <c r="I36" i="3" a="1"/>
  <c r="G10" i="1" a="1"/>
  <c r="H19" i="1" a="1"/>
  <c r="H17" i="1" a="1"/>
  <c r="C11" i="1" a="1"/>
  <c r="H12" i="1" a="1"/>
  <c r="G17" i="1" a="1"/>
  <c r="G13" i="1" a="1"/>
  <c r="H14" i="1" a="1"/>
  <c r="H20" i="1" a="1"/>
  <c r="G18" i="1" a="1"/>
  <c r="C13" i="1" a="1"/>
  <c r="G11" i="1" a="1"/>
  <c r="G16" i="1" a="1"/>
  <c r="G19" i="1" a="1"/>
  <c r="H13" i="1" a="1"/>
  <c r="I36" i="3" l="1"/>
  <c r="J36" i="3" s="1"/>
  <c r="I37" i="3"/>
  <c r="J37" i="3" s="1"/>
  <c r="I31" i="3"/>
  <c r="J31" i="3" s="1"/>
  <c r="I29" i="3"/>
  <c r="J29" i="3" s="1"/>
  <c r="I28" i="3"/>
  <c r="J28" i="3" s="1"/>
  <c r="I27" i="3"/>
  <c r="J27" i="3" s="1"/>
  <c r="I34" i="3"/>
  <c r="J34" i="3" s="1"/>
  <c r="H33" i="3"/>
  <c r="H30" i="3"/>
  <c r="H35" i="3"/>
  <c r="G10" i="1"/>
  <c r="C20" i="2"/>
  <c r="D37" i="2" s="1"/>
  <c r="H18" i="2"/>
  <c r="C35" i="2" s="1"/>
  <c r="G17" i="2"/>
  <c r="C16" i="2"/>
  <c r="D33" i="2" s="1"/>
  <c r="H13" i="2"/>
  <c r="C30" i="2" s="1"/>
  <c r="G12" i="2"/>
  <c r="C11" i="2"/>
  <c r="D28" i="2" s="1"/>
  <c r="G31" i="2"/>
  <c r="G27" i="2"/>
  <c r="H27" i="2" s="1"/>
  <c r="G29" i="2"/>
  <c r="G34" i="2"/>
  <c r="G36" i="2"/>
  <c r="H36" i="2" s="1"/>
  <c r="G19" i="2"/>
  <c r="C18" i="2"/>
  <c r="D35" i="2" s="1"/>
  <c r="H16" i="2"/>
  <c r="C33" i="2" s="1"/>
  <c r="G14" i="2"/>
  <c r="C13" i="2"/>
  <c r="D30" i="2" s="1"/>
  <c r="H11" i="2"/>
  <c r="C28" i="2" s="1"/>
  <c r="G10" i="2"/>
  <c r="G30" i="2"/>
  <c r="G28" i="2"/>
  <c r="G33" i="2"/>
  <c r="G35" i="2"/>
  <c r="G37" i="2"/>
  <c r="H34" i="2"/>
  <c r="H29" i="2"/>
  <c r="H31" i="2"/>
  <c r="H37" i="2"/>
  <c r="H19" i="1"/>
  <c r="C36" i="1" s="1"/>
  <c r="H36" i="1" s="1"/>
  <c r="H20" i="1"/>
  <c r="C37" i="1" s="1"/>
  <c r="H37" i="1" s="1"/>
  <c r="G19" i="1"/>
  <c r="G18" i="1"/>
  <c r="H17" i="1"/>
  <c r="C34" i="1" s="1"/>
  <c r="H34" i="1" s="1"/>
  <c r="G17" i="1"/>
  <c r="G16" i="1"/>
  <c r="G13" i="1"/>
  <c r="C13" i="1"/>
  <c r="D30" i="1" s="1"/>
  <c r="C11" i="1"/>
  <c r="D28" i="1" s="1"/>
  <c r="H14" i="1"/>
  <c r="C31" i="1" s="1"/>
  <c r="H31" i="1" s="1"/>
  <c r="H13" i="1"/>
  <c r="C30" i="1" s="1"/>
  <c r="H30" i="1" s="1"/>
  <c r="H12" i="1"/>
  <c r="C29" i="1" s="1"/>
  <c r="H29" i="1" s="1"/>
  <c r="G11" i="1"/>
  <c r="I30" i="3" a="1"/>
  <c r="I27" i="2" a="1"/>
  <c r="I31" i="2" a="1"/>
  <c r="I33" i="3" a="1"/>
  <c r="I35" i="3" a="1"/>
  <c r="I34" i="2" a="1"/>
  <c r="I29" i="2" a="1"/>
  <c r="I37" i="2" a="1"/>
  <c r="I36" i="2" a="1"/>
  <c r="C12" i="1" a="1"/>
  <c r="H16" i="1" a="1"/>
  <c r="C20" i="1" a="1"/>
  <c r="G12" i="1" a="1"/>
  <c r="H18" i="1" a="1"/>
  <c r="C10" i="1" a="1"/>
  <c r="C16" i="1" a="1"/>
  <c r="I31" i="1" a="1"/>
  <c r="H11" i="1" a="1"/>
  <c r="C18" i="1" a="1"/>
  <c r="G14" i="1" a="1"/>
  <c r="C17" i="1" a="1"/>
  <c r="C14" i="1" a="1"/>
  <c r="G20" i="1" a="1"/>
  <c r="C19" i="1" a="1"/>
  <c r="H10" i="1" a="1"/>
  <c r="I30" i="1" a="1"/>
  <c r="I36" i="1" a="1"/>
  <c r="I34" i="1" a="1"/>
  <c r="I29" i="1" a="1"/>
  <c r="I37" i="1" a="1"/>
  <c r="I35" i="3" l="1"/>
  <c r="J35" i="3" s="1"/>
  <c r="I33" i="3"/>
  <c r="J33" i="3" s="1"/>
  <c r="I30" i="3"/>
  <c r="J30" i="3" s="1"/>
  <c r="H10" i="1"/>
  <c r="C27" i="1" s="1"/>
  <c r="H27" i="1" s="1"/>
  <c r="C19" i="1"/>
  <c r="D36" i="1" s="1"/>
  <c r="G20" i="1"/>
  <c r="C14" i="1"/>
  <c r="D31" i="1" s="1"/>
  <c r="C17" i="1"/>
  <c r="D34" i="1" s="1"/>
  <c r="G14" i="1"/>
  <c r="C18" i="1"/>
  <c r="D35" i="1" s="1"/>
  <c r="H11" i="1"/>
  <c r="C28" i="1" s="1"/>
  <c r="H28" i="1" s="1"/>
  <c r="C16" i="1"/>
  <c r="D33" i="1" s="1"/>
  <c r="C10" i="1"/>
  <c r="D27" i="1" s="1"/>
  <c r="H18" i="1"/>
  <c r="C35" i="1" s="1"/>
  <c r="H35" i="1" s="1"/>
  <c r="G12" i="1"/>
  <c r="C20" i="1"/>
  <c r="D37" i="1" s="1"/>
  <c r="H16" i="1"/>
  <c r="C33" i="1" s="1"/>
  <c r="H33" i="1" s="1"/>
  <c r="C12" i="1"/>
  <c r="D29" i="1" s="1"/>
  <c r="H35" i="2"/>
  <c r="H28" i="2"/>
  <c r="I36" i="2"/>
  <c r="J36" i="2" s="1"/>
  <c r="I37" i="2"/>
  <c r="J37" i="2" s="1"/>
  <c r="I31" i="2"/>
  <c r="J31" i="2" s="1"/>
  <c r="I29" i="2"/>
  <c r="J29" i="2" s="1"/>
  <c r="I27" i="2"/>
  <c r="J27" i="2" s="1"/>
  <c r="I34" i="2"/>
  <c r="J34" i="2" s="1"/>
  <c r="H33" i="2"/>
  <c r="H30" i="2"/>
  <c r="I29" i="1"/>
  <c r="J29" i="1" s="1"/>
  <c r="I34" i="1"/>
  <c r="J34" i="1" s="1"/>
  <c r="I37" i="1"/>
  <c r="J37" i="1" s="1"/>
  <c r="I36" i="1"/>
  <c r="J36" i="1" s="1"/>
  <c r="I30" i="1"/>
  <c r="J30" i="1" s="1"/>
  <c r="I31" i="1"/>
  <c r="J31" i="1" s="1"/>
  <c r="I35" i="2" a="1"/>
  <c r="I33" i="2" a="1"/>
  <c r="I28" i="2" a="1"/>
  <c r="I30" i="2" a="1"/>
  <c r="I27" i="1" a="1"/>
  <c r="I35" i="1" a="1"/>
  <c r="I28" i="1" a="1"/>
  <c r="I33" i="1" a="1"/>
  <c r="I33" i="1" l="1"/>
  <c r="J33" i="1" s="1"/>
  <c r="I28" i="1"/>
  <c r="J28" i="1" s="1"/>
  <c r="I35" i="1"/>
  <c r="J35" i="1" s="1"/>
  <c r="I27" i="1"/>
  <c r="J27" i="1" s="1"/>
  <c r="I35" i="2"/>
  <c r="J35" i="2" s="1"/>
  <c r="I28" i="2"/>
  <c r="J28" i="2" s="1"/>
  <c r="I30" i="2"/>
  <c r="J30" i="2" s="1"/>
  <c r="I33" i="2"/>
  <c r="J3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<sst xmlns="http://schemas.openxmlformats.org/spreadsheetml/2006/main" count="120" uniqueCount="27">
  <si>
    <t>仕上げ</t>
    <rPh sb="0" eb="2">
      <t>シア</t>
    </rPh>
    <phoneticPr fontId="1"/>
  </si>
  <si>
    <t>L(スパン）</t>
    <phoneticPr fontId="1"/>
  </si>
  <si>
    <t>Σ＝</t>
    <phoneticPr fontId="1"/>
  </si>
  <si>
    <t>t(スラブ厚)</t>
    <rPh sb="5" eb="6">
      <t>アツ</t>
    </rPh>
    <phoneticPr fontId="1"/>
  </si>
  <si>
    <t>Mf1</t>
    <phoneticPr fontId="1"/>
  </si>
  <si>
    <t>Mf3</t>
    <phoneticPr fontId="1"/>
  </si>
  <si>
    <t>Mf5</t>
    <phoneticPr fontId="1"/>
  </si>
  <si>
    <t>Mg1</t>
    <phoneticPr fontId="1"/>
  </si>
  <si>
    <t>Mg2</t>
    <phoneticPr fontId="1"/>
  </si>
  <si>
    <t>Mg3</t>
    <phoneticPr fontId="1"/>
  </si>
  <si>
    <t>Mg5</t>
    <phoneticPr fontId="1"/>
  </si>
  <si>
    <t>g(固定荷重）</t>
    <rPh sb="2" eb="4">
      <t>コテイ</t>
    </rPh>
    <rPh sb="4" eb="6">
      <t>カジュウ</t>
    </rPh>
    <phoneticPr fontId="1"/>
  </si>
  <si>
    <t>p(積載荷重）</t>
    <rPh sb="2" eb="4">
      <t>セキサイ</t>
    </rPh>
    <rPh sb="4" eb="6">
      <t>カジュウ</t>
    </rPh>
    <phoneticPr fontId="1"/>
  </si>
  <si>
    <t>柱列帯</t>
    <rPh sb="0" eb="1">
      <t>チュウ</t>
    </rPh>
    <rPh sb="1" eb="2">
      <t>レツ</t>
    </rPh>
    <rPh sb="2" eb="3">
      <t>オビ</t>
    </rPh>
    <phoneticPr fontId="1"/>
  </si>
  <si>
    <t>Mg4</t>
    <phoneticPr fontId="1"/>
  </si>
  <si>
    <t>柱間帯</t>
    <rPh sb="0" eb="1">
      <t>ハシラ</t>
    </rPh>
    <rPh sb="1" eb="2">
      <t>アイダ</t>
    </rPh>
    <rPh sb="2" eb="3">
      <t>オビ</t>
    </rPh>
    <phoneticPr fontId="1"/>
  </si>
  <si>
    <t>Mf2</t>
    <phoneticPr fontId="1"/>
  </si>
  <si>
    <t>Mf4</t>
    <phoneticPr fontId="1"/>
  </si>
  <si>
    <t>D13</t>
    <phoneticPr fontId="1"/>
  </si>
  <si>
    <t>t</t>
    <phoneticPr fontId="1"/>
  </si>
  <si>
    <t>上かぶり</t>
    <rPh sb="0" eb="1">
      <t>ウエ</t>
    </rPh>
    <phoneticPr fontId="1"/>
  </si>
  <si>
    <t>下かぶり</t>
    <rPh sb="0" eb="1">
      <t>シタ</t>
    </rPh>
    <phoneticPr fontId="1"/>
  </si>
  <si>
    <t>M</t>
    <phoneticPr fontId="1"/>
  </si>
  <si>
    <t>位置</t>
    <rPh sb="0" eb="2">
      <t>イチ</t>
    </rPh>
    <phoneticPr fontId="1"/>
  </si>
  <si>
    <t>上・下</t>
    <rPh sb="0" eb="1">
      <t>ウエ</t>
    </rPh>
    <rPh sb="2" eb="3">
      <t>シタ</t>
    </rPh>
    <phoneticPr fontId="1"/>
  </si>
  <si>
    <t>ft</t>
    <phoneticPr fontId="1"/>
  </si>
  <si>
    <t>D13D16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</si>
</sst>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0.0000"/>
    <numFmt numFmtId="178" formatCode="0.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 inden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178" fontId="0" fillId="0" borderId="0" xfId="0" applyNumberFormat="1">
      <alignment vertical="center"/>
    </xf>
    <xf numFmtId="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D371F-D83F-4B12-B3F8-19D65EB179E3}">
  <sheetPr codeName="Sheet3"/>
  <dimension ref="B3:J37"/>
  <sheetViews>
    <sheetView topLeftCell="A22" workbookViewId="0">
      <selection activeCell="H10" sqref="H10"/>
    </sheetView>
  </sheetViews>
  <sheetFormatPr defaultRowHeight="18.75" x14ac:dyDescent="0.4"/>
  <cols>
    <col min="1" max="1" width="4.625" customWidth="1"/>
    <col min="2" max="11" width="8.625" customWidth="1"/>
  </cols>
  <sheetData>
    <row r="3" spans="2:8" x14ac:dyDescent="0.4">
      <c r="C3" s="2" t="s">
        <v>0</v>
      </c>
      <c r="E3">
        <v>10060</v>
      </c>
    </row>
    <row r="4" spans="2:8" x14ac:dyDescent="0.4">
      <c r="C4" s="2" t="s">
        <v>3</v>
      </c>
      <c r="D4">
        <v>250</v>
      </c>
      <c r="E4">
        <f>D4*24000/1000</f>
        <v>6000</v>
      </c>
    </row>
    <row r="5" spans="2:8" x14ac:dyDescent="0.4">
      <c r="C5" s="2"/>
      <c r="D5" s="3" t="s">
        <v>2</v>
      </c>
      <c r="E5">
        <f>SUM(E3:E4)</f>
        <v>16060</v>
      </c>
    </row>
    <row r="6" spans="2:8" x14ac:dyDescent="0.4">
      <c r="C6" s="2"/>
      <c r="D6" s="3"/>
    </row>
    <row r="7" spans="2:8" x14ac:dyDescent="0.4">
      <c r="B7" s="5" t="s">
        <v>1</v>
      </c>
      <c r="C7" s="5"/>
      <c r="D7" s="5" t="s">
        <v>11</v>
      </c>
      <c r="E7" s="5"/>
      <c r="F7" s="5" t="s">
        <v>12</v>
      </c>
      <c r="G7" s="5"/>
    </row>
    <row r="8" spans="2:8" x14ac:dyDescent="0.4">
      <c r="B8" s="4">
        <v>4</v>
      </c>
      <c r="C8" s="4"/>
      <c r="D8" s="4">
        <f>E5</f>
        <v>16060</v>
      </c>
      <c r="E8" s="4"/>
      <c r="F8" s="4">
        <v>2900</v>
      </c>
      <c r="G8" s="4"/>
    </row>
    <row r="9" spans="2:8" x14ac:dyDescent="0.4">
      <c r="B9" t="s">
        <v>13</v>
      </c>
    </row>
    <row r="10" spans="2:8" x14ac:dyDescent="0.4">
      <c r="B10" t="s">
        <v>7</v>
      </c>
      <c r="C10" s="1" t="str" cm="1">
        <f t="array" ref="C10">flat_slab(B$8,D$8/10000,F$8/1000,B10,3)</f>
        <v>上端筋</v>
      </c>
      <c r="G10" s="7" t="str" cm="1">
        <f t="array" ref="G10">flat_slab(B$8,D$8/10000,F$8/1000,B10,2)</f>
        <v>Mg1=L ^ 2 / 12 * (g + p)=</v>
      </c>
      <c r="H10" s="6" cm="1">
        <f t="array" ref="H10">ROUND(flat_slab(B$8,D$8/1000,F$8/1000,B10,1),4)/2</f>
        <v>12.64</v>
      </c>
    </row>
    <row r="11" spans="2:8" x14ac:dyDescent="0.4">
      <c r="B11" t="s">
        <v>9</v>
      </c>
      <c r="C11" s="1" t="str" cm="1">
        <f t="array" ref="C11">flat_slab(B$8,D$8/10000,F$8/1000,B11,3)</f>
        <v>上端筋</v>
      </c>
      <c r="G11" s="7" t="str" cm="1">
        <f t="array" ref="G11">flat_slab(B$8,D$8/10000,F$8/1000,B11,2)</f>
        <v>Mg1=L ^ 2 / 8 * (g + p)=</v>
      </c>
      <c r="H11" s="6" cm="1">
        <f t="array" ref="H11">ROUND(flat_slab(B$8,D$8/1000,F$8/1000,B11,1),4)/2</f>
        <v>18.96</v>
      </c>
    </row>
    <row r="12" spans="2:8" x14ac:dyDescent="0.4">
      <c r="B12" t="s">
        <v>10</v>
      </c>
      <c r="C12" s="1" t="str" cm="1">
        <f t="array" ref="C12">flat_slab(B$8,D$8/10000,F$8/1000,B12,3)</f>
        <v>上端筋</v>
      </c>
      <c r="G12" s="7" t="str" cm="1">
        <f t="array" ref="G12">flat_slab(B$8,D$8/10000,F$8/1000,B12,2)</f>
        <v>Mg1=L ^ 2 / 10 * (g + p)=</v>
      </c>
      <c r="H12" s="6" cm="1">
        <f t="array" ref="H12">ROUND(flat_slab(B$8,D$8/1000,F$8/1000,B12,1),4)/2</f>
        <v>15.167999999999999</v>
      </c>
    </row>
    <row r="13" spans="2:8" x14ac:dyDescent="0.4">
      <c r="B13" t="s">
        <v>8</v>
      </c>
      <c r="C13" s="1" t="str" cm="1">
        <f t="array" ref="C13">flat_slab(B$8,D$8/10000,F$8/1000,B13,3)</f>
        <v>下端筋</v>
      </c>
      <c r="G13" s="7" t="str" cm="1">
        <f t="array" ref="G13">flat_slab(B$8,D$8/10000,F$8/1000,B13,2)</f>
        <v>Mg1=L ^ 2 * (g / 20 + p / 13)=</v>
      </c>
      <c r="H13" s="6" cm="1">
        <f t="array" ref="H13">ROUND(flat_slab(B$8,D$8/1000,F$8/1000,B13,1),4)/2</f>
        <v>8.2086000000000006</v>
      </c>
    </row>
    <row r="14" spans="2:8" x14ac:dyDescent="0.4">
      <c r="B14" t="s">
        <v>14</v>
      </c>
      <c r="C14" s="1" t="str" cm="1">
        <f t="array" ref="C14">flat_slab(B$8,D$8/10000,F$8/1000,B14,3)</f>
        <v>下端筋</v>
      </c>
      <c r="G14" s="7" t="str" cm="1">
        <f t="array" ref="G14">flat_slab(B$8,D$8/10000,F$8/1000,B14,2)</f>
        <v>Mg1=L ^ 2 * (g / 26 + p / 13)=</v>
      </c>
      <c r="H14" s="6" cm="1">
        <f t="array" ref="H14">ROUND(flat_slab(B$8,D$8/1000,F$8/1000,B14,1),4)/2</f>
        <v>6.7261499999999996</v>
      </c>
    </row>
    <row r="15" spans="2:8" x14ac:dyDescent="0.4">
      <c r="B15" t="s">
        <v>15</v>
      </c>
      <c r="C15" s="1"/>
      <c r="G15" s="7"/>
      <c r="H15" s="6"/>
    </row>
    <row r="16" spans="2:8" x14ac:dyDescent="0.4">
      <c r="B16" t="s">
        <v>4</v>
      </c>
      <c r="C16" s="1" t="str" cm="1">
        <f t="array" ref="C16">flat_slab(B$8,D$8/10000,F$8/1000,B16,3)</f>
        <v>上端筋</v>
      </c>
      <c r="G16" s="7" t="str" cm="1">
        <f t="array" ref="G16">flat_slab(B$8,D$8/10000,F$8/1000,B16,2)</f>
        <v>Mf1=L ^ 2 / 36 * (g + p)=</v>
      </c>
      <c r="H16" s="6" cm="1">
        <f t="array" ref="H16">ROUND(flat_slab(B$8,D$8/1000,F$8/1000,B16,1),4)*3/4</f>
        <v>6.3200250000000002</v>
      </c>
    </row>
    <row r="17" spans="2:10" x14ac:dyDescent="0.4">
      <c r="B17" t="s">
        <v>5</v>
      </c>
      <c r="C17" s="1" t="str" cm="1">
        <f t="array" ref="C17">flat_slab(B$8,D$8/10000,F$8/1000,B17,3)</f>
        <v>上端筋</v>
      </c>
      <c r="G17" s="7" t="str" cm="1">
        <f t="array" ref="G17">flat_slab(B$8,D$8/10000,F$8/1000,B17,2)</f>
        <v>Mf1=L ^ 2 / 24 * (g + p)=</v>
      </c>
      <c r="H17" s="6" cm="1">
        <f t="array" ref="H17">ROUND(flat_slab(B$8,D$8/1000,F$8/1000,B17,1),4)*3/4</f>
        <v>9.48</v>
      </c>
    </row>
    <row r="18" spans="2:10" x14ac:dyDescent="0.4">
      <c r="B18" t="s">
        <v>6</v>
      </c>
      <c r="C18" s="1" t="str" cm="1">
        <f t="array" ref="C18">flat_slab(B$8,D$8/10000,F$8/1000,B18,3)</f>
        <v>上端筋</v>
      </c>
      <c r="G18" s="7" t="str" cm="1">
        <f t="array" ref="G18">flat_slab(B$8,D$8/10000,F$8/1000,B18,2)</f>
        <v>Mf1=L ^ 2 / 30 * (g + p)=</v>
      </c>
      <c r="H18" s="6" cm="1">
        <f t="array" ref="H18">ROUND(flat_slab(B$8,D$8/1000,F$8/1000,B18,1),4)*3/4</f>
        <v>7.5839999999999996</v>
      </c>
    </row>
    <row r="19" spans="2:10" x14ac:dyDescent="0.4">
      <c r="B19" t="s">
        <v>16</v>
      </c>
      <c r="C19" s="1" t="str" cm="1">
        <f t="array" ref="C19">flat_slab(B$8,D$8/10000,F$8/1000,B19,3)</f>
        <v>下端筋</v>
      </c>
      <c r="G19" s="7" t="str" cm="1">
        <f t="array" ref="G19">flat_slab(B$8,D$8/10000,F$8/1000,B19,2)</f>
        <v>Mg1=L ^ 2 * (g / 26 + p / 16)=</v>
      </c>
      <c r="H19" s="6" cm="1">
        <f t="array" ref="H19">ROUND(flat_slab(B$8,D$8/1000,F$8/1000,B19,1),4)*3/4</f>
        <v>9.5873249999999999</v>
      </c>
    </row>
    <row r="20" spans="2:10" x14ac:dyDescent="0.4">
      <c r="B20" t="s">
        <v>17</v>
      </c>
      <c r="C20" s="1" t="str" cm="1">
        <f t="array" ref="C20">flat_slab(B$8,D$8/10000,F$8/1000,B20,3)</f>
        <v>下端筋</v>
      </c>
      <c r="G20" s="7" t="str" cm="1">
        <f t="array" ref="G20">flat_slab(B$8,D$8/10000,F$8/1000,B20,2)</f>
        <v>Mg1=L ^ 2 * (g / 32 + p / 16)=</v>
      </c>
      <c r="H20" s="6" cm="1">
        <f t="array" ref="H20">ROUND(flat_slab(B$8,D$8/1000,F$8/1000,B20,1),4)*3/4</f>
        <v>8.1974999999999998</v>
      </c>
    </row>
    <row r="22" spans="2:10" x14ac:dyDescent="0.4">
      <c r="B22" t="s">
        <v>23</v>
      </c>
      <c r="C22" s="4" t="s">
        <v>19</v>
      </c>
      <c r="D22" s="4" t="s">
        <v>20</v>
      </c>
      <c r="E22" s="4" t="s">
        <v>21</v>
      </c>
      <c r="G22" s="4" t="s">
        <v>25</v>
      </c>
    </row>
    <row r="23" spans="2:10" x14ac:dyDescent="0.4">
      <c r="B23" t="s">
        <v>24</v>
      </c>
      <c r="C23" s="4">
        <f>D4</f>
        <v>250</v>
      </c>
      <c r="D23" s="4">
        <v>30</v>
      </c>
      <c r="E23" s="4">
        <v>50</v>
      </c>
      <c r="G23">
        <v>157</v>
      </c>
    </row>
    <row r="25" spans="2:10" x14ac:dyDescent="0.4">
      <c r="B25" t="s">
        <v>13</v>
      </c>
    </row>
    <row r="26" spans="2:10" x14ac:dyDescent="0.4">
      <c r="C26" t="s">
        <v>22</v>
      </c>
    </row>
    <row r="27" spans="2:10" x14ac:dyDescent="0.4">
      <c r="B27" t="s">
        <v>7</v>
      </c>
      <c r="C27" s="6">
        <f>H10</f>
        <v>12.64</v>
      </c>
      <c r="D27" s="1" t="str">
        <f>C10</f>
        <v>上端筋</v>
      </c>
      <c r="E27" t="s">
        <v>18</v>
      </c>
      <c r="F27" cm="1">
        <f t="array" ref="F27">C$23-D$23-bar_1(E27,4)/2</f>
        <v>213</v>
      </c>
      <c r="G27">
        <f>F27*7/8</f>
        <v>186.375</v>
      </c>
      <c r="H27" s="9">
        <f>C27*1000*1000/(G$23*G27)</f>
        <v>431.97614562107253</v>
      </c>
      <c r="I27" s="8" cm="1">
        <f t="array" ref="I27">H27/bar_1(E27,1)</f>
        <v>3.4013869733942719</v>
      </c>
      <c r="J27" s="9">
        <f>1000/I27</f>
        <v>293.99771558544302</v>
      </c>
    </row>
    <row r="28" spans="2:10" x14ac:dyDescent="0.4">
      <c r="B28" t="s">
        <v>9</v>
      </c>
      <c r="C28" s="6">
        <f t="shared" ref="C28:C37" si="0">H11</f>
        <v>18.96</v>
      </c>
      <c r="D28" s="1" t="str">
        <f t="shared" ref="D28:D37" si="1">C11</f>
        <v>上端筋</v>
      </c>
      <c r="E28" t="str">
        <f>E27</f>
        <v>D13</v>
      </c>
      <c r="F28" cm="1">
        <f t="array" ref="F28">C$23-D$23-bar_1(E28,4)/2</f>
        <v>213</v>
      </c>
      <c r="G28">
        <f t="shared" ref="G28:G37" si="2">F28*7/8</f>
        <v>186.375</v>
      </c>
      <c r="H28" s="9">
        <f t="shared" ref="H28:H37" si="3">C28*1000*1000/(G$23*G28)</f>
        <v>647.96421843160874</v>
      </c>
      <c r="I28" s="8" cm="1">
        <f t="array" ref="I28">H28/bar_1(E28,1)</f>
        <v>5.1020804600914076</v>
      </c>
      <c r="J28" s="9">
        <f t="shared" ref="J28:J37" si="4">1000/I28</f>
        <v>195.99847705696203</v>
      </c>
    </row>
    <row r="29" spans="2:10" x14ac:dyDescent="0.4">
      <c r="B29" t="s">
        <v>10</v>
      </c>
      <c r="C29" s="6">
        <f t="shared" si="0"/>
        <v>15.167999999999999</v>
      </c>
      <c r="D29" s="1" t="str">
        <f t="shared" si="1"/>
        <v>上端筋</v>
      </c>
      <c r="E29" t="str">
        <f t="shared" ref="E29" si="5">E28</f>
        <v>D13</v>
      </c>
      <c r="F29" cm="1">
        <f t="array" ref="F29">C$23-D$23-bar_1(E29,4)/2</f>
        <v>213</v>
      </c>
      <c r="G29">
        <f t="shared" si="2"/>
        <v>186.375</v>
      </c>
      <c r="H29" s="9">
        <f t="shared" si="3"/>
        <v>518.37137474528697</v>
      </c>
      <c r="I29" s="8" cm="1">
        <f t="array" ref="I29">H29/bar_1(E29,1)</f>
        <v>4.0816643680731257</v>
      </c>
      <c r="J29" s="9">
        <f t="shared" si="4"/>
        <v>244.99809632120255</v>
      </c>
    </row>
    <row r="30" spans="2:10" x14ac:dyDescent="0.4">
      <c r="B30" t="s">
        <v>8</v>
      </c>
      <c r="C30" s="6">
        <f t="shared" si="0"/>
        <v>8.2086000000000006</v>
      </c>
      <c r="D30" s="1" t="str">
        <f t="shared" si="1"/>
        <v>下端筋</v>
      </c>
      <c r="E30" t="s">
        <v>18</v>
      </c>
      <c r="F30" cm="1">
        <f t="array" ref="F30">C$23-E$23-bar_1(E30,4)/2</f>
        <v>193</v>
      </c>
      <c r="G30">
        <f t="shared" si="2"/>
        <v>168.875</v>
      </c>
      <c r="H30" s="9">
        <f t="shared" si="3"/>
        <v>309.60222906363299</v>
      </c>
      <c r="I30" s="8" cm="1">
        <f t="array" ref="I30">H30/bar_1(E30,1)</f>
        <v>2.4378128272727007</v>
      </c>
      <c r="J30" s="9">
        <f t="shared" si="4"/>
        <v>410.20376495382891</v>
      </c>
    </row>
    <row r="31" spans="2:10" x14ac:dyDescent="0.4">
      <c r="B31" t="s">
        <v>14</v>
      </c>
      <c r="C31" s="6">
        <f t="shared" si="0"/>
        <v>6.7261499999999996</v>
      </c>
      <c r="D31" s="1" t="str">
        <f t="shared" si="1"/>
        <v>下端筋</v>
      </c>
      <c r="E31" t="str">
        <f t="shared" ref="E31" si="6">E30</f>
        <v>D13</v>
      </c>
      <c r="F31" cm="1">
        <f t="array" ref="F31">C$23-E$23-bar_1(E31,4)/2</f>
        <v>193</v>
      </c>
      <c r="G31">
        <f t="shared" si="2"/>
        <v>168.875</v>
      </c>
      <c r="H31" s="9">
        <f t="shared" si="3"/>
        <v>253.68894001612395</v>
      </c>
      <c r="I31" s="8" cm="1">
        <f t="array" ref="I31">H31/bar_1(E31,1)</f>
        <v>1.9975507087883775</v>
      </c>
      <c r="J31" s="9">
        <f t="shared" si="4"/>
        <v>500.61307360079689</v>
      </c>
    </row>
    <row r="32" spans="2:10" x14ac:dyDescent="0.4">
      <c r="B32" t="s">
        <v>15</v>
      </c>
      <c r="C32" s="6"/>
      <c r="D32" s="1"/>
      <c r="H32" s="9"/>
      <c r="I32" s="8"/>
      <c r="J32" s="9"/>
    </row>
    <row r="33" spans="2:10" x14ac:dyDescent="0.4">
      <c r="B33" t="s">
        <v>4</v>
      </c>
      <c r="C33" s="6">
        <f t="shared" ref="C33:C42" si="7">H16</f>
        <v>6.3200250000000002</v>
      </c>
      <c r="D33" s="1" t="str">
        <f t="shared" ref="D33:D42" si="8">C16</f>
        <v>上端筋</v>
      </c>
      <c r="E33" t="s">
        <v>18</v>
      </c>
      <c r="F33" cm="1">
        <f t="array" ref="F33">C$23-D$23-bar_1(E33,4)/2</f>
        <v>213</v>
      </c>
      <c r="G33">
        <f t="shared" ref="G33:G42" si="9">F33*7/8</f>
        <v>186.375</v>
      </c>
      <c r="H33" s="9">
        <f t="shared" ref="H33:H42" si="10">C33*1000*1000/(G$23*G33)</f>
        <v>215.98892719373569</v>
      </c>
      <c r="I33" s="8" cm="1">
        <f t="array" ref="I33">H33/bar_1(E33,1)</f>
        <v>1.7007002141239032</v>
      </c>
      <c r="J33" s="9">
        <f t="shared" ref="J33:J42" si="11">1000/I33</f>
        <v>587.9931052487924</v>
      </c>
    </row>
    <row r="34" spans="2:10" x14ac:dyDescent="0.4">
      <c r="B34" t="s">
        <v>5</v>
      </c>
      <c r="C34" s="6">
        <f t="shared" si="7"/>
        <v>9.48</v>
      </c>
      <c r="D34" s="1" t="str">
        <f t="shared" si="8"/>
        <v>上端筋</v>
      </c>
      <c r="E34" t="str">
        <f t="shared" ref="E34:E37" si="12">E33</f>
        <v>D13</v>
      </c>
      <c r="F34" cm="1">
        <f t="array" ref="F34">C$23-D$23-bar_1(E34,4)/2</f>
        <v>213</v>
      </c>
      <c r="G34">
        <f t="shared" si="9"/>
        <v>186.375</v>
      </c>
      <c r="H34" s="9">
        <f t="shared" si="10"/>
        <v>323.98210921580437</v>
      </c>
      <c r="I34" s="8" cm="1">
        <f t="array" ref="I34">H34/bar_1(E34,1)</f>
        <v>2.5510402300457038</v>
      </c>
      <c r="J34" s="9">
        <f t="shared" si="11"/>
        <v>391.99695411392406</v>
      </c>
    </row>
    <row r="35" spans="2:10" x14ac:dyDescent="0.4">
      <c r="B35" t="s">
        <v>6</v>
      </c>
      <c r="C35" s="6">
        <f t="shared" si="7"/>
        <v>7.5839999999999996</v>
      </c>
      <c r="D35" s="1" t="str">
        <f t="shared" si="8"/>
        <v>上端筋</v>
      </c>
      <c r="E35" t="str">
        <f t="shared" si="12"/>
        <v>D13</v>
      </c>
      <c r="F35" cm="1">
        <f t="array" ref="F35">C$23-D$23-bar_1(E35,4)/2</f>
        <v>213</v>
      </c>
      <c r="G35">
        <f t="shared" si="9"/>
        <v>186.375</v>
      </c>
      <c r="H35" s="9">
        <f t="shared" si="10"/>
        <v>259.18568737264349</v>
      </c>
      <c r="I35" s="8" cm="1">
        <f t="array" ref="I35">H35/bar_1(E35,1)</f>
        <v>2.0408321840365629</v>
      </c>
      <c r="J35" s="9">
        <f t="shared" si="11"/>
        <v>489.99619264240511</v>
      </c>
    </row>
    <row r="36" spans="2:10" x14ac:dyDescent="0.4">
      <c r="B36" t="s">
        <v>16</v>
      </c>
      <c r="C36" s="6">
        <f t="shared" si="7"/>
        <v>9.5873249999999999</v>
      </c>
      <c r="D36" s="1" t="str">
        <f t="shared" si="8"/>
        <v>下端筋</v>
      </c>
      <c r="E36" t="str">
        <f t="shared" si="12"/>
        <v>D13</v>
      </c>
      <c r="F36" cm="1">
        <f t="array" ref="F36">C$23-E$23-bar_1(E36,4)/2</f>
        <v>193</v>
      </c>
      <c r="G36">
        <f t="shared" si="9"/>
        <v>168.875</v>
      </c>
      <c r="H36" s="9">
        <f t="shared" si="10"/>
        <v>361.60334170960886</v>
      </c>
      <c r="I36" s="8" cm="1">
        <f t="array" ref="I36">H36/bar_1(E36,1)</f>
        <v>2.8472704071622745</v>
      </c>
      <c r="J36" s="9">
        <f t="shared" si="11"/>
        <v>351.21356843540815</v>
      </c>
    </row>
    <row r="37" spans="2:10" x14ac:dyDescent="0.4">
      <c r="B37" t="s">
        <v>17</v>
      </c>
      <c r="C37" s="6">
        <f t="shared" si="7"/>
        <v>8.1974999999999998</v>
      </c>
      <c r="D37" s="1" t="str">
        <f t="shared" si="8"/>
        <v>下端筋</v>
      </c>
      <c r="E37" t="str">
        <f t="shared" si="12"/>
        <v>D13</v>
      </c>
      <c r="F37" cm="1">
        <f t="array" ref="F37">C$23-E$23-bar_1(E37,4)/2</f>
        <v>193</v>
      </c>
      <c r="G37">
        <f t="shared" si="9"/>
        <v>168.875</v>
      </c>
      <c r="H37" s="9">
        <f t="shared" si="10"/>
        <v>309.18357244221079</v>
      </c>
      <c r="I37" s="8" cm="1">
        <f t="array" ref="I37">H37/bar_1(E37,1)</f>
        <v>2.4345163184426046</v>
      </c>
      <c r="J37" s="9">
        <f t="shared" si="11"/>
        <v>410.75921012503812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659-6FCE-42A9-A2D4-642192DF7692}">
  <sheetPr codeName="Sheet1"/>
  <dimension ref="B3:J37"/>
  <sheetViews>
    <sheetView tabSelected="1" topLeftCell="A28" workbookViewId="0">
      <selection activeCell="G24" sqref="G24"/>
    </sheetView>
  </sheetViews>
  <sheetFormatPr defaultRowHeight="18.75" x14ac:dyDescent="0.4"/>
  <cols>
    <col min="1" max="1" width="4.625" customWidth="1"/>
    <col min="2" max="11" width="8.625" customWidth="1"/>
  </cols>
  <sheetData>
    <row r="3" spans="2:8" x14ac:dyDescent="0.4">
      <c r="C3" s="2" t="s">
        <v>0</v>
      </c>
      <c r="E3">
        <v>10060</v>
      </c>
    </row>
    <row r="4" spans="2:8" x14ac:dyDescent="0.4">
      <c r="C4" s="2" t="s">
        <v>3</v>
      </c>
      <c r="D4">
        <v>250</v>
      </c>
      <c r="E4">
        <f>D4*24000/1000</f>
        <v>6000</v>
      </c>
    </row>
    <row r="5" spans="2:8" x14ac:dyDescent="0.4">
      <c r="C5" s="2"/>
      <c r="D5" s="3" t="s">
        <v>2</v>
      </c>
      <c r="E5">
        <f>SUM(E3:E4)</f>
        <v>16060</v>
      </c>
    </row>
    <row r="6" spans="2:8" x14ac:dyDescent="0.4">
      <c r="C6" s="2"/>
      <c r="D6" s="3"/>
    </row>
    <row r="7" spans="2:8" x14ac:dyDescent="0.4">
      <c r="B7" s="5" t="s">
        <v>1</v>
      </c>
      <c r="C7" s="5"/>
      <c r="D7" s="5" t="s">
        <v>11</v>
      </c>
      <c r="E7" s="5"/>
      <c r="F7" s="5" t="s">
        <v>12</v>
      </c>
      <c r="G7" s="5"/>
    </row>
    <row r="8" spans="2:8" x14ac:dyDescent="0.4">
      <c r="B8" s="4">
        <v>4</v>
      </c>
      <c r="C8" s="4"/>
      <c r="D8" s="4">
        <f>E5</f>
        <v>16060</v>
      </c>
      <c r="E8" s="4"/>
      <c r="F8" s="4">
        <v>2900</v>
      </c>
      <c r="G8" s="4"/>
    </row>
    <row r="9" spans="2:8" x14ac:dyDescent="0.4">
      <c r="B9" t="s">
        <v>13</v>
      </c>
    </row>
    <row r="10" spans="2:8" x14ac:dyDescent="0.4">
      <c r="B10" t="s">
        <v>7</v>
      </c>
      <c r="C10" s="1" t="str" cm="1">
        <f t="array" ref="C10">flat_slab(B$8,D$8/10000,F$8/1000,B10,3)</f>
        <v>上端筋</v>
      </c>
      <c r="G10" s="7" t="str" cm="1">
        <f t="array" ref="G10">flat_slab(B$8,D$8/10000,F$8/1000,B10,2)</f>
        <v>Mg1=L ^ 2 / 12 * (g + p)=</v>
      </c>
      <c r="H10" s="6" cm="1">
        <f t="array" ref="H10">ROUND(flat_slab(B$8,D$8/1000,F$8/1000,B10,1),4)</f>
        <v>25.28</v>
      </c>
    </row>
    <row r="11" spans="2:8" x14ac:dyDescent="0.4">
      <c r="B11" t="s">
        <v>9</v>
      </c>
      <c r="C11" s="1" t="str" cm="1">
        <f t="array" ref="C11">flat_slab(B$8,D$8/10000,F$8/1000,B11,3)</f>
        <v>上端筋</v>
      </c>
      <c r="G11" s="7" t="str" cm="1">
        <f t="array" ref="G11">flat_slab(B$8,D$8/10000,F$8/1000,B11,2)</f>
        <v>Mg1=L ^ 2 / 8 * (g + p)=</v>
      </c>
      <c r="H11" s="6" cm="1">
        <f t="array" ref="H11">ROUND(flat_slab(B$8,D$8/1000,F$8/1000,B11,1),4)</f>
        <v>37.92</v>
      </c>
    </row>
    <row r="12" spans="2:8" x14ac:dyDescent="0.4">
      <c r="B12" t="s">
        <v>10</v>
      </c>
      <c r="C12" s="1" t="str" cm="1">
        <f t="array" ref="C12">flat_slab(B$8,D$8/10000,F$8/1000,B12,3)</f>
        <v>上端筋</v>
      </c>
      <c r="G12" s="7" t="str" cm="1">
        <f t="array" ref="G12">flat_slab(B$8,D$8/10000,F$8/1000,B12,2)</f>
        <v>Mg1=L ^ 2 / 10 * (g + p)=</v>
      </c>
      <c r="H12" s="6" cm="1">
        <f t="array" ref="H12">ROUND(flat_slab(B$8,D$8/1000,F$8/1000,B12,1),4)</f>
        <v>30.335999999999999</v>
      </c>
    </row>
    <row r="13" spans="2:8" x14ac:dyDescent="0.4">
      <c r="B13" t="s">
        <v>8</v>
      </c>
      <c r="C13" s="1" t="str" cm="1">
        <f t="array" ref="C13">flat_slab(B$8,D$8/10000,F$8/1000,B13,3)</f>
        <v>下端筋</v>
      </c>
      <c r="G13" s="7" t="str" cm="1">
        <f t="array" ref="G13">flat_slab(B$8,D$8/10000,F$8/1000,B13,2)</f>
        <v>Mg1=L ^ 2 * (g / 20 + p / 13)=</v>
      </c>
      <c r="H13" s="6" cm="1">
        <f t="array" ref="H13">ROUND(flat_slab(B$8,D$8/1000,F$8/1000,B13,1),4)</f>
        <v>16.417200000000001</v>
      </c>
    </row>
    <row r="14" spans="2:8" x14ac:dyDescent="0.4">
      <c r="B14" t="s">
        <v>14</v>
      </c>
      <c r="C14" s="1" t="str" cm="1">
        <f t="array" ref="C14">flat_slab(B$8,D$8/10000,F$8/1000,B14,3)</f>
        <v>下端筋</v>
      </c>
      <c r="G14" s="7" t="str" cm="1">
        <f t="array" ref="G14">flat_slab(B$8,D$8/10000,F$8/1000,B14,2)</f>
        <v>Mg1=L ^ 2 * (g / 26 + p / 13)=</v>
      </c>
      <c r="H14" s="6" cm="1">
        <f t="array" ref="H14">ROUND(flat_slab(B$8,D$8/1000,F$8/1000,B14,1),4)</f>
        <v>13.452299999999999</v>
      </c>
    </row>
    <row r="15" spans="2:8" x14ac:dyDescent="0.4">
      <c r="B15" t="s">
        <v>15</v>
      </c>
      <c r="C15" s="1"/>
      <c r="G15" s="7"/>
      <c r="H15" s="6"/>
    </row>
    <row r="16" spans="2:8" x14ac:dyDescent="0.4">
      <c r="B16" t="s">
        <v>4</v>
      </c>
      <c r="C16" s="1" t="str" cm="1">
        <f t="array" ref="C16">flat_slab(B$8,D$8/10000,F$8/1000,B16,3)</f>
        <v>上端筋</v>
      </c>
      <c r="G16" s="7" t="str" cm="1">
        <f t="array" ref="G16">flat_slab(B$8,D$8/10000,F$8/1000,B16,2)</f>
        <v>Mf1=L ^ 2 / 36 * (g + p)=</v>
      </c>
      <c r="H16" s="6" cm="1">
        <f t="array" ref="H16">ROUND(flat_slab(B$8,D$8/1000,F$8/1000,B16,1),4)</f>
        <v>8.4267000000000003</v>
      </c>
    </row>
    <row r="17" spans="2:10" x14ac:dyDescent="0.4">
      <c r="B17" t="s">
        <v>5</v>
      </c>
      <c r="C17" s="1" t="str" cm="1">
        <f t="array" ref="C17">flat_slab(B$8,D$8/10000,F$8/1000,B17,3)</f>
        <v>上端筋</v>
      </c>
      <c r="G17" s="7" t="str" cm="1">
        <f t="array" ref="G17">flat_slab(B$8,D$8/10000,F$8/1000,B17,2)</f>
        <v>Mf1=L ^ 2 / 24 * (g + p)=</v>
      </c>
      <c r="H17" s="6" cm="1">
        <f t="array" ref="H17">ROUND(flat_slab(B$8,D$8/1000,F$8/1000,B17,1),4)</f>
        <v>12.64</v>
      </c>
    </row>
    <row r="18" spans="2:10" x14ac:dyDescent="0.4">
      <c r="B18" t="s">
        <v>6</v>
      </c>
      <c r="C18" s="1" t="str" cm="1">
        <f t="array" ref="C18">flat_slab(B$8,D$8/10000,F$8/1000,B18,3)</f>
        <v>上端筋</v>
      </c>
      <c r="G18" s="7" t="str" cm="1">
        <f t="array" ref="G18">flat_slab(B$8,D$8/10000,F$8/1000,B18,2)</f>
        <v>Mf1=L ^ 2 / 30 * (g + p)=</v>
      </c>
      <c r="H18" s="6" cm="1">
        <f t="array" ref="H18">ROUND(flat_slab(B$8,D$8/1000,F$8/1000,B18,1),4)</f>
        <v>10.112</v>
      </c>
    </row>
    <row r="19" spans="2:10" x14ac:dyDescent="0.4">
      <c r="B19" t="s">
        <v>16</v>
      </c>
      <c r="C19" s="1" t="str" cm="1">
        <f t="array" ref="C19">flat_slab(B$8,D$8/10000,F$8/1000,B19,3)</f>
        <v>下端筋</v>
      </c>
      <c r="G19" s="7" t="str" cm="1">
        <f t="array" ref="G19">flat_slab(B$8,D$8/10000,F$8/1000,B19,2)</f>
        <v>Mg1=L ^ 2 * (g / 26 + p / 16)=</v>
      </c>
      <c r="H19" s="6" cm="1">
        <f t="array" ref="H19">ROUND(flat_slab(B$8,D$8/1000,F$8/1000,B19,1),4)</f>
        <v>12.783099999999999</v>
      </c>
    </row>
    <row r="20" spans="2:10" x14ac:dyDescent="0.4">
      <c r="B20" t="s">
        <v>17</v>
      </c>
      <c r="C20" s="1" t="str" cm="1">
        <f t="array" ref="C20">flat_slab(B$8,D$8/10000,F$8/1000,B20,3)</f>
        <v>下端筋</v>
      </c>
      <c r="G20" s="7" t="str" cm="1">
        <f t="array" ref="G20">flat_slab(B$8,D$8/10000,F$8/1000,B20,2)</f>
        <v>Mg1=L ^ 2 * (g / 32 + p / 16)=</v>
      </c>
      <c r="H20" s="6" cm="1">
        <f t="array" ref="H20">ROUND(flat_slab(B$8,D$8/1000,F$8/1000,B20,1),4)</f>
        <v>10.93</v>
      </c>
    </row>
    <row r="22" spans="2:10" x14ac:dyDescent="0.4">
      <c r="B22" t="s">
        <v>23</v>
      </c>
      <c r="C22" s="4" t="s">
        <v>19</v>
      </c>
      <c r="D22" s="4" t="s">
        <v>20</v>
      </c>
      <c r="E22" s="4" t="s">
        <v>21</v>
      </c>
      <c r="G22" s="4" t="s">
        <v>25</v>
      </c>
    </row>
    <row r="23" spans="2:10" x14ac:dyDescent="0.4">
      <c r="B23" t="s">
        <v>24</v>
      </c>
      <c r="C23" s="4">
        <f>D4</f>
        <v>250</v>
      </c>
      <c r="D23" s="4">
        <v>30</v>
      </c>
      <c r="E23" s="4">
        <v>50</v>
      </c>
      <c r="G23">
        <v>195</v>
      </c>
    </row>
    <row r="25" spans="2:10" x14ac:dyDescent="0.4">
      <c r="B25" t="s">
        <v>13</v>
      </c>
    </row>
    <row r="26" spans="2:10" x14ac:dyDescent="0.4">
      <c r="C26" t="s">
        <v>22</v>
      </c>
    </row>
    <row r="27" spans="2:10" x14ac:dyDescent="0.4">
      <c r="B27" t="s">
        <v>7</v>
      </c>
      <c r="C27" s="6">
        <f>H10</f>
        <v>25.28</v>
      </c>
      <c r="D27" s="1" t="str">
        <f>C10</f>
        <v>上端筋</v>
      </c>
      <c r="E27" t="s">
        <v>26</v>
      </c>
      <c r="F27" cm="1">
        <f t="array" ref="F27">C$23-D$23-bar_1(E27,4)/2</f>
        <v>211</v>
      </c>
      <c r="G27">
        <f>F27*7/8</f>
        <v>184.625</v>
      </c>
      <c r="H27" s="9">
        <f>C27*1000*1000/(G$23*G27)</f>
        <v>702.18565005294863</v>
      </c>
      <c r="I27" s="8" cm="1">
        <f t="array" ref="I27">H27/bar_1(E27,1)</f>
        <v>4.3078874236377214</v>
      </c>
      <c r="J27" s="9">
        <f>1000/I27</f>
        <v>232.13234276107596</v>
      </c>
    </row>
    <row r="28" spans="2:10" x14ac:dyDescent="0.4">
      <c r="B28" t="s">
        <v>9</v>
      </c>
      <c r="C28" s="6">
        <f t="shared" ref="C28:C37" si="0">H11</f>
        <v>37.92</v>
      </c>
      <c r="D28" s="1" t="str">
        <f t="shared" ref="D28:D37" si="1">C11</f>
        <v>上端筋</v>
      </c>
      <c r="E28" t="str">
        <f>E27</f>
        <v>D13D16</v>
      </c>
      <c r="F28" cm="1">
        <f t="array" ref="F28">C$23-D$23-bar_1(E28,4)/2</f>
        <v>211</v>
      </c>
      <c r="G28">
        <f t="shared" ref="G28:G37" si="2">F28*7/8</f>
        <v>184.625</v>
      </c>
      <c r="H28" s="9">
        <f t="shared" ref="H28:H37" si="3">C28*1000*1000/(G$23*G28)</f>
        <v>1053.2784750794231</v>
      </c>
      <c r="I28" s="8" cm="1">
        <f t="array" ref="I28">H28/bar_1(E28,1)</f>
        <v>6.4618311354565829</v>
      </c>
      <c r="J28" s="9">
        <f t="shared" ref="J28:J37" si="4">1000/I28</f>
        <v>154.75489517405063</v>
      </c>
    </row>
    <row r="29" spans="2:10" x14ac:dyDescent="0.4">
      <c r="B29" t="s">
        <v>10</v>
      </c>
      <c r="C29" s="6">
        <f t="shared" si="0"/>
        <v>30.335999999999999</v>
      </c>
      <c r="D29" s="1" t="str">
        <f t="shared" si="1"/>
        <v>上端筋</v>
      </c>
      <c r="E29" t="str">
        <f t="shared" ref="E29:E31" si="5">E28</f>
        <v>D13D16</v>
      </c>
      <c r="F29" cm="1">
        <f t="array" ref="F29">C$23-D$23-bar_1(E29,4)/2</f>
        <v>211</v>
      </c>
      <c r="G29">
        <f t="shared" si="2"/>
        <v>184.625</v>
      </c>
      <c r="H29" s="9">
        <f t="shared" si="3"/>
        <v>842.62278006353836</v>
      </c>
      <c r="I29" s="8" cm="1">
        <f t="array" ref="I29">H29/bar_1(E29,1)</f>
        <v>5.1694649083652662</v>
      </c>
      <c r="J29" s="9">
        <f t="shared" si="4"/>
        <v>193.44361896756328</v>
      </c>
    </row>
    <row r="30" spans="2:10" x14ac:dyDescent="0.4">
      <c r="B30" t="s">
        <v>8</v>
      </c>
      <c r="C30" s="6">
        <f t="shared" si="0"/>
        <v>16.417200000000001</v>
      </c>
      <c r="D30" s="1" t="str">
        <f t="shared" si="1"/>
        <v>下端筋</v>
      </c>
      <c r="E30" t="s">
        <v>18</v>
      </c>
      <c r="F30" cm="1">
        <f t="array" ref="F30">C$23-E$23-bar_1(E30,4)/2</f>
        <v>193</v>
      </c>
      <c r="G30">
        <f t="shared" si="2"/>
        <v>168.875</v>
      </c>
      <c r="H30" s="9">
        <f t="shared" si="3"/>
        <v>498.53897397938852</v>
      </c>
      <c r="I30" s="8" cm="1">
        <f t="array" ref="I30">H30/bar_1(E30,1)</f>
        <v>3.9255037321211694</v>
      </c>
      <c r="J30" s="9">
        <f t="shared" si="4"/>
        <v>254.74437632483003</v>
      </c>
    </row>
    <row r="31" spans="2:10" x14ac:dyDescent="0.4">
      <c r="B31" t="s">
        <v>14</v>
      </c>
      <c r="C31" s="6">
        <f t="shared" si="0"/>
        <v>13.452299999999999</v>
      </c>
      <c r="D31" s="1" t="str">
        <f t="shared" si="1"/>
        <v>下端筋</v>
      </c>
      <c r="E31" t="str">
        <f t="shared" si="5"/>
        <v>D13</v>
      </c>
      <c r="F31" cm="1">
        <f t="array" ref="F31">C$23-E$23-bar_1(E31,4)/2</f>
        <v>193</v>
      </c>
      <c r="G31">
        <f t="shared" si="2"/>
        <v>168.875</v>
      </c>
      <c r="H31" s="9">
        <f t="shared" si="3"/>
        <v>408.50424187211752</v>
      </c>
      <c r="I31" s="8" cm="1">
        <f t="array" ref="I31">H31/bar_1(E31,1)</f>
        <v>3.2165688336387208</v>
      </c>
      <c r="J31" s="9">
        <f t="shared" si="4"/>
        <v>310.89028456100442</v>
      </c>
    </row>
    <row r="32" spans="2:10" x14ac:dyDescent="0.4">
      <c r="B32" t="s">
        <v>15</v>
      </c>
      <c r="C32" s="6"/>
      <c r="D32" s="1"/>
      <c r="H32" s="9"/>
      <c r="I32" s="8"/>
      <c r="J32" s="9"/>
    </row>
    <row r="33" spans="2:10" x14ac:dyDescent="0.4">
      <c r="B33" t="s">
        <v>4</v>
      </c>
      <c r="C33" s="6">
        <f t="shared" si="0"/>
        <v>8.4267000000000003</v>
      </c>
      <c r="D33" s="1" t="str">
        <f t="shared" si="1"/>
        <v>上端筋</v>
      </c>
      <c r="E33" t="s">
        <v>18</v>
      </c>
      <c r="F33" cm="1">
        <f t="array" ref="F33">C$23-D$23-bar_1(E33,4)/2</f>
        <v>213</v>
      </c>
      <c r="G33">
        <f t="shared" si="2"/>
        <v>186.375</v>
      </c>
      <c r="H33" s="9">
        <f t="shared" si="3"/>
        <v>231.86503637207863</v>
      </c>
      <c r="I33" s="8" cm="1">
        <f t="array" ref="I33">H33/bar_1(E33,1)</f>
        <v>1.8257089478116428</v>
      </c>
      <c r="J33" s="9">
        <f t="shared" si="4"/>
        <v>547.73243084481464</v>
      </c>
    </row>
    <row r="34" spans="2:10" x14ac:dyDescent="0.4">
      <c r="B34" t="s">
        <v>5</v>
      </c>
      <c r="C34" s="6">
        <f t="shared" si="0"/>
        <v>12.64</v>
      </c>
      <c r="D34" s="1" t="str">
        <f t="shared" si="1"/>
        <v>上端筋</v>
      </c>
      <c r="E34" t="str">
        <f t="shared" ref="E34:E37" si="6">E33</f>
        <v>D13</v>
      </c>
      <c r="F34" cm="1">
        <f t="array" ref="F34">C$23-D$23-bar_1(E34,4)/2</f>
        <v>213</v>
      </c>
      <c r="G34">
        <f t="shared" si="2"/>
        <v>186.375</v>
      </c>
      <c r="H34" s="9">
        <f t="shared" si="3"/>
        <v>347.79617878209427</v>
      </c>
      <c r="I34" s="8" cm="1">
        <f t="array" ref="I34">H34/bar_1(E34,1)</f>
        <v>2.7385525888353879</v>
      </c>
      <c r="J34" s="9">
        <f t="shared" si="4"/>
        <v>365.15639833860763</v>
      </c>
    </row>
    <row r="35" spans="2:10" x14ac:dyDescent="0.4">
      <c r="B35" t="s">
        <v>6</v>
      </c>
      <c r="C35" s="6">
        <f t="shared" si="0"/>
        <v>10.112</v>
      </c>
      <c r="D35" s="1" t="str">
        <f t="shared" si="1"/>
        <v>上端筋</v>
      </c>
      <c r="E35" t="str">
        <f t="shared" si="6"/>
        <v>D13</v>
      </c>
      <c r="F35" cm="1">
        <f t="array" ref="F35">C$23-D$23-bar_1(E35,4)/2</f>
        <v>213</v>
      </c>
      <c r="G35">
        <f t="shared" si="2"/>
        <v>186.375</v>
      </c>
      <c r="H35" s="9">
        <f t="shared" si="3"/>
        <v>278.23694302567543</v>
      </c>
      <c r="I35" s="8" cm="1">
        <f t="array" ref="I35">H35/bar_1(E35,1)</f>
        <v>2.1908420710683103</v>
      </c>
      <c r="J35" s="9">
        <f t="shared" si="4"/>
        <v>456.4454979232595</v>
      </c>
    </row>
    <row r="36" spans="2:10" x14ac:dyDescent="0.4">
      <c r="B36" t="s">
        <v>16</v>
      </c>
      <c r="C36" s="6">
        <f t="shared" si="0"/>
        <v>12.783099999999999</v>
      </c>
      <c r="D36" s="1" t="str">
        <f t="shared" si="1"/>
        <v>下端筋</v>
      </c>
      <c r="E36" t="str">
        <f t="shared" si="6"/>
        <v>D13</v>
      </c>
      <c r="F36" cm="1">
        <f t="array" ref="F36">C$23-E$23-bar_1(E36,4)/2</f>
        <v>193</v>
      </c>
      <c r="G36">
        <f t="shared" si="2"/>
        <v>168.875</v>
      </c>
      <c r="H36" s="9">
        <f t="shared" si="3"/>
        <v>388.18273263869111</v>
      </c>
      <c r="I36" s="8" cm="1">
        <f t="array" ref="I36">H36/bar_1(E36,1)</f>
        <v>3.0565569499109535</v>
      </c>
      <c r="J36" s="9">
        <f t="shared" si="4"/>
        <v>327.16550562852524</v>
      </c>
    </row>
    <row r="37" spans="2:10" x14ac:dyDescent="0.4">
      <c r="B37" t="s">
        <v>17</v>
      </c>
      <c r="C37" s="6">
        <f t="shared" si="0"/>
        <v>10.93</v>
      </c>
      <c r="D37" s="1" t="str">
        <f t="shared" si="1"/>
        <v>下端筋</v>
      </c>
      <c r="E37" t="str">
        <f t="shared" si="6"/>
        <v>D13</v>
      </c>
      <c r="F37" cm="1">
        <f t="array" ref="F37">C$23-E$23-bar_1(E37,4)/2</f>
        <v>193</v>
      </c>
      <c r="G37">
        <f t="shared" si="2"/>
        <v>168.875</v>
      </c>
      <c r="H37" s="9">
        <f t="shared" si="3"/>
        <v>331.90988631403138</v>
      </c>
      <c r="I37" s="8" cm="1">
        <f t="array" ref="I37">H37/bar_1(E37,1)</f>
        <v>2.6134636717640265</v>
      </c>
      <c r="J37" s="9">
        <f t="shared" si="4"/>
        <v>382.63397758462946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30317-A3D4-4D1C-BEE6-D17E1337FD96}">
  <sheetPr codeName="Sheet2"/>
  <dimension ref="B3:J37"/>
  <sheetViews>
    <sheetView topLeftCell="A10" workbookViewId="0">
      <selection activeCell="H16" sqref="H16"/>
    </sheetView>
  </sheetViews>
  <sheetFormatPr defaultRowHeight="18.75" x14ac:dyDescent="0.4"/>
  <cols>
    <col min="1" max="1" width="4.625" customWidth="1"/>
    <col min="2" max="11" width="8.625" customWidth="1"/>
  </cols>
  <sheetData>
    <row r="3" spans="2:8" x14ac:dyDescent="0.4">
      <c r="C3" s="2" t="s">
        <v>0</v>
      </c>
      <c r="E3">
        <v>10060</v>
      </c>
    </row>
    <row r="4" spans="2:8" x14ac:dyDescent="0.4">
      <c r="C4" s="2" t="s">
        <v>3</v>
      </c>
      <c r="D4">
        <v>200</v>
      </c>
      <c r="E4">
        <f>D4*24000/1000</f>
        <v>4800</v>
      </c>
    </row>
    <row r="5" spans="2:8" x14ac:dyDescent="0.4">
      <c r="C5" s="2"/>
      <c r="D5" s="3" t="s">
        <v>2</v>
      </c>
      <c r="E5">
        <f>SUM(E3:E4)</f>
        <v>14860</v>
      </c>
    </row>
    <row r="6" spans="2:8" x14ac:dyDescent="0.4">
      <c r="C6" s="2"/>
      <c r="D6" s="3"/>
    </row>
    <row r="7" spans="2:8" x14ac:dyDescent="0.4">
      <c r="B7" s="5" t="s">
        <v>1</v>
      </c>
      <c r="C7" s="5"/>
      <c r="D7" s="5" t="s">
        <v>11</v>
      </c>
      <c r="E7" s="5"/>
      <c r="F7" s="5" t="s">
        <v>12</v>
      </c>
      <c r="G7" s="5"/>
    </row>
    <row r="8" spans="2:8" x14ac:dyDescent="0.4">
      <c r="B8" s="4">
        <v>3.5</v>
      </c>
      <c r="C8" s="4"/>
      <c r="D8" s="4">
        <f>E5</f>
        <v>14860</v>
      </c>
      <c r="E8" s="4"/>
      <c r="F8" s="4">
        <v>2900</v>
      </c>
      <c r="G8" s="4"/>
    </row>
    <row r="9" spans="2:8" x14ac:dyDescent="0.4">
      <c r="B9" t="s">
        <v>13</v>
      </c>
    </row>
    <row r="10" spans="2:8" x14ac:dyDescent="0.4">
      <c r="B10" t="s">
        <v>7</v>
      </c>
      <c r="C10" s="1" t="str" cm="1">
        <f t="array" ref="C10">flat_slab(B$8,D$8/10000,F$8/1000,B10,3)</f>
        <v>上端筋</v>
      </c>
      <c r="G10" s="7" t="str" cm="1">
        <f t="array" ref="G10">flat_slab(B$8,D$8/10000,F$8/1000,B10,2)</f>
        <v>Mg1=L ^ 2 / 12 * (g + p)=</v>
      </c>
      <c r="H10" s="6" cm="1">
        <f t="array" ref="H10">ROUND(flat_slab(B$8,D$8/1000,F$8/1000,B10,1),4)</f>
        <v>18.13</v>
      </c>
    </row>
    <row r="11" spans="2:8" x14ac:dyDescent="0.4">
      <c r="B11" t="s">
        <v>9</v>
      </c>
      <c r="C11" s="1" t="str" cm="1">
        <f t="array" ref="C11">flat_slab(B$8,D$8/10000,F$8/1000,B11,3)</f>
        <v>上端筋</v>
      </c>
      <c r="G11" s="7" t="str" cm="1">
        <f t="array" ref="G11">flat_slab(B$8,D$8/10000,F$8/1000,B11,2)</f>
        <v>Mg1=L ^ 2 / 8 * (g + p)=</v>
      </c>
      <c r="H11" s="6" cm="1">
        <f t="array" ref="H11">ROUND(flat_slab(B$8,D$8/1000,F$8/1000,B11,1),4)</f>
        <v>27.195</v>
      </c>
    </row>
    <row r="12" spans="2:8" x14ac:dyDescent="0.4">
      <c r="B12" t="s">
        <v>10</v>
      </c>
      <c r="C12" s="1" t="str" cm="1">
        <f t="array" ref="C12">flat_slab(B$8,D$8/10000,F$8/1000,B12,3)</f>
        <v>上端筋</v>
      </c>
      <c r="G12" s="7" t="str" cm="1">
        <f t="array" ref="G12">flat_slab(B$8,D$8/10000,F$8/1000,B12,2)</f>
        <v>Mg1=L ^ 2 / 10 * (g + p)=</v>
      </c>
      <c r="H12" s="6" cm="1">
        <f t="array" ref="H12">ROUND(flat_slab(B$8,D$8/1000,F$8/1000,B12,1),4)</f>
        <v>21.756</v>
      </c>
    </row>
    <row r="13" spans="2:8" x14ac:dyDescent="0.4">
      <c r="B13" t="s">
        <v>8</v>
      </c>
      <c r="C13" s="1" t="str" cm="1">
        <f t="array" ref="C13">flat_slab(B$8,D$8/10000,F$8/1000,B13,3)</f>
        <v>下端筋</v>
      </c>
      <c r="G13" s="7" t="str" cm="1">
        <f t="array" ref="G13">flat_slab(B$8,D$8/10000,F$8/1000,B13,2)</f>
        <v>Mg1=L ^ 2 * (g / 20 + p / 13)=</v>
      </c>
      <c r="H13" s="6" cm="1">
        <f t="array" ref="H13">ROUND(flat_slab(B$8,D$8/1000,F$8/1000,B13,1),4)</f>
        <v>11.8344</v>
      </c>
    </row>
    <row r="14" spans="2:8" x14ac:dyDescent="0.4">
      <c r="B14" t="s">
        <v>14</v>
      </c>
      <c r="C14" s="1" t="str" cm="1">
        <f t="array" ref="C14">flat_slab(B$8,D$8/10000,F$8/1000,B14,3)</f>
        <v>下端筋</v>
      </c>
      <c r="G14" s="7" t="str" cm="1">
        <f t="array" ref="G14">flat_slab(B$8,D$8/10000,F$8/1000,B14,2)</f>
        <v>Mg1=L ^ 2 * (g / 26 + p / 13)=</v>
      </c>
      <c r="H14" s="6" cm="1">
        <f t="array" ref="H14">ROUND(flat_slab(B$8,D$8/1000,F$8/1000,B14,1),4)</f>
        <v>9.734</v>
      </c>
    </row>
    <row r="15" spans="2:8" x14ac:dyDescent="0.4">
      <c r="B15" t="s">
        <v>15</v>
      </c>
      <c r="C15" s="1"/>
      <c r="G15" s="7"/>
      <c r="H15" s="6"/>
    </row>
    <row r="16" spans="2:8" x14ac:dyDescent="0.4">
      <c r="B16" t="s">
        <v>4</v>
      </c>
      <c r="C16" s="1" t="str" cm="1">
        <f t="array" ref="C16">flat_slab(B$8,D$8/10000,F$8/1000,B16,3)</f>
        <v>上端筋</v>
      </c>
      <c r="G16" s="7" t="str" cm="1">
        <f t="array" ref="G16">flat_slab(B$8,D$8/10000,F$8/1000,B16,2)</f>
        <v>Mf1=L ^ 2 / 36 * (g + p)=</v>
      </c>
      <c r="H16" s="6" cm="1">
        <f t="array" ref="H16">ROUND(flat_slab(B$8,D$8/1000,F$8/1000,B16,1),4)</f>
        <v>6.0433000000000003</v>
      </c>
    </row>
    <row r="17" spans="2:10" x14ac:dyDescent="0.4">
      <c r="B17" t="s">
        <v>5</v>
      </c>
      <c r="C17" s="1" t="str" cm="1">
        <f t="array" ref="C17">flat_slab(B$8,D$8/10000,F$8/1000,B17,3)</f>
        <v>上端筋</v>
      </c>
      <c r="G17" s="7" t="str" cm="1">
        <f t="array" ref="G17">flat_slab(B$8,D$8/10000,F$8/1000,B17,2)</f>
        <v>Mf1=L ^ 2 / 24 * (g + p)=</v>
      </c>
      <c r="H17" s="6" cm="1">
        <f t="array" ref="H17">ROUND(flat_slab(B$8,D$8/1000,F$8/1000,B17,1),4)</f>
        <v>9.0649999999999995</v>
      </c>
    </row>
    <row r="18" spans="2:10" x14ac:dyDescent="0.4">
      <c r="B18" t="s">
        <v>6</v>
      </c>
      <c r="C18" s="1" t="str" cm="1">
        <f t="array" ref="C18">flat_slab(B$8,D$8/10000,F$8/1000,B18,3)</f>
        <v>上端筋</v>
      </c>
      <c r="G18" s="7" t="str" cm="1">
        <f t="array" ref="G18">flat_slab(B$8,D$8/10000,F$8/1000,B18,2)</f>
        <v>Mf1=L ^ 2 / 30 * (g + p)=</v>
      </c>
      <c r="H18" s="6" cm="1">
        <f t="array" ref="H18">ROUND(flat_slab(B$8,D$8/1000,F$8/1000,B18,1),4)</f>
        <v>7.2519999999999998</v>
      </c>
    </row>
    <row r="19" spans="2:10" x14ac:dyDescent="0.4">
      <c r="B19" t="s">
        <v>16</v>
      </c>
      <c r="C19" s="1" t="str" cm="1">
        <f t="array" ref="C19">flat_slab(B$8,D$8/10000,F$8/1000,B19,3)</f>
        <v>下端筋</v>
      </c>
      <c r="G19" s="7" t="str" cm="1">
        <f t="array" ref="G19">flat_slab(B$8,D$8/10000,F$8/1000,B19,2)</f>
        <v>Mg1=L ^ 2 * (g / 26 + p / 16)=</v>
      </c>
      <c r="H19" s="6" cm="1">
        <f t="array" ref="H19">ROUND(flat_slab(B$8,D$8/1000,F$8/1000,B19,1),4)</f>
        <v>9.2217000000000002</v>
      </c>
    </row>
    <row r="20" spans="2:10" x14ac:dyDescent="0.4">
      <c r="B20" t="s">
        <v>17</v>
      </c>
      <c r="C20" s="1" t="str" cm="1">
        <f t="array" ref="C20">flat_slab(B$8,D$8/10000,F$8/1000,B20,3)</f>
        <v>下端筋</v>
      </c>
      <c r="G20" s="7" t="str" cm="1">
        <f t="array" ref="G20">flat_slab(B$8,D$8/10000,F$8/1000,B20,2)</f>
        <v>Mg1=L ^ 2 * (g / 32 + p / 16)=</v>
      </c>
      <c r="H20" s="6" cm="1">
        <f t="array" ref="H20">ROUND(flat_slab(B$8,D$8/1000,F$8/1000,B20,1),4)</f>
        <v>7.9089</v>
      </c>
    </row>
    <row r="22" spans="2:10" x14ac:dyDescent="0.4">
      <c r="B22" t="s">
        <v>23</v>
      </c>
      <c r="C22" s="4" t="s">
        <v>19</v>
      </c>
      <c r="D22" s="4" t="s">
        <v>20</v>
      </c>
      <c r="E22" s="4" t="s">
        <v>21</v>
      </c>
      <c r="G22" s="4" t="s">
        <v>25</v>
      </c>
    </row>
    <row r="23" spans="2:10" x14ac:dyDescent="0.4">
      <c r="B23" t="s">
        <v>24</v>
      </c>
      <c r="C23" s="4">
        <f>D4</f>
        <v>200</v>
      </c>
      <c r="D23" s="4">
        <v>30</v>
      </c>
      <c r="E23" s="4">
        <v>50</v>
      </c>
      <c r="G23">
        <v>157</v>
      </c>
    </row>
    <row r="25" spans="2:10" x14ac:dyDescent="0.4">
      <c r="B25" t="s">
        <v>13</v>
      </c>
    </row>
    <row r="26" spans="2:10" x14ac:dyDescent="0.4">
      <c r="C26" t="s">
        <v>22</v>
      </c>
    </row>
    <row r="27" spans="2:10" x14ac:dyDescent="0.4">
      <c r="B27" t="s">
        <v>7</v>
      </c>
      <c r="C27" s="6">
        <f>H10</f>
        <v>18.13</v>
      </c>
      <c r="D27" s="1" t="str">
        <f>C10</f>
        <v>上端筋</v>
      </c>
      <c r="E27" t="s">
        <v>26</v>
      </c>
      <c r="F27" cm="1">
        <f t="array" ref="F27">C$23-D$23-bar_1(E27,4)*1.5</f>
        <v>143</v>
      </c>
      <c r="G27">
        <f>F27*7/8</f>
        <v>125.125</v>
      </c>
      <c r="H27" s="9">
        <f>C27*1000*1000/(G$23*G27)</f>
        <v>922.89875729366179</v>
      </c>
      <c r="I27" s="8" cm="1">
        <f t="array" ref="I27">H27/bar_1(E27,1)</f>
        <v>5.6619555662187837</v>
      </c>
      <c r="J27" s="9">
        <f>1000/I27</f>
        <v>176.61742277992278</v>
      </c>
    </row>
    <row r="28" spans="2:10" x14ac:dyDescent="0.4">
      <c r="B28" t="s">
        <v>9</v>
      </c>
      <c r="C28" s="6">
        <f t="shared" ref="C28:C31" si="0">H11</f>
        <v>27.195</v>
      </c>
      <c r="D28" s="1" t="str">
        <f t="shared" ref="D28:D31" si="1">C11</f>
        <v>上端筋</v>
      </c>
      <c r="E28" t="str">
        <f>E27</f>
        <v>D13D16</v>
      </c>
      <c r="F28" cm="1">
        <f t="array" ref="F28">C$23-D$23-bar_1(E28,4)*1.5</f>
        <v>143</v>
      </c>
      <c r="G28">
        <f t="shared" ref="G28:G31" si="2">F28*7/8</f>
        <v>125.125</v>
      </c>
      <c r="H28" s="9">
        <f t="shared" ref="H28:H31" si="3">C28*1000*1000/(G$23*G28)</f>
        <v>1384.3481359404927</v>
      </c>
      <c r="I28" s="8" cm="1">
        <f t="array" ref="I28">H28/bar_1(E28,1)</f>
        <v>8.492933349328176</v>
      </c>
      <c r="J28" s="9">
        <f t="shared" ref="J28:J31" si="4">1000/I28</f>
        <v>117.74494851994851</v>
      </c>
    </row>
    <row r="29" spans="2:10" x14ac:dyDescent="0.4">
      <c r="B29" t="s">
        <v>10</v>
      </c>
      <c r="C29" s="6">
        <f t="shared" si="0"/>
        <v>21.756</v>
      </c>
      <c r="D29" s="1" t="str">
        <f t="shared" si="1"/>
        <v>上端筋</v>
      </c>
      <c r="E29" t="str">
        <f t="shared" ref="E29" si="5">E28</f>
        <v>D13D16</v>
      </c>
      <c r="F29" cm="1">
        <f t="array" ref="F29">C$23-D$23-bar_1(E29,4)*1.5</f>
        <v>143</v>
      </c>
      <c r="G29">
        <f t="shared" si="2"/>
        <v>125.125</v>
      </c>
      <c r="H29" s="9">
        <f t="shared" si="3"/>
        <v>1107.4785087523942</v>
      </c>
      <c r="I29" s="8" cm="1">
        <f t="array" ref="I29">H29/bar_1(E29,1)</f>
        <v>6.7943466794625413</v>
      </c>
      <c r="J29" s="9">
        <f t="shared" si="4"/>
        <v>147.18118564993563</v>
      </c>
    </row>
    <row r="30" spans="2:10" x14ac:dyDescent="0.4">
      <c r="B30" t="s">
        <v>8</v>
      </c>
      <c r="C30" s="6">
        <f t="shared" si="0"/>
        <v>11.8344</v>
      </c>
      <c r="D30" s="1" t="str">
        <f t="shared" si="1"/>
        <v>下端筋</v>
      </c>
      <c r="E30" t="s">
        <v>18</v>
      </c>
      <c r="F30" cm="1">
        <f t="array" ref="F30">C$23-E$23-bar_1(E30,4)*1.5</f>
        <v>129</v>
      </c>
      <c r="G30">
        <f t="shared" si="2"/>
        <v>112.875</v>
      </c>
      <c r="H30" s="9">
        <f t="shared" si="3"/>
        <v>667.80371161944265</v>
      </c>
      <c r="I30" s="8" cm="1">
        <f t="array" ref="I30">H30/bar_1(E30,1)</f>
        <v>5.2582969418853756</v>
      </c>
      <c r="J30" s="9">
        <f t="shared" si="4"/>
        <v>190.17564261813018</v>
      </c>
    </row>
    <row r="31" spans="2:10" x14ac:dyDescent="0.4">
      <c r="B31" t="s">
        <v>14</v>
      </c>
      <c r="C31" s="6">
        <f t="shared" si="0"/>
        <v>9.734</v>
      </c>
      <c r="D31" s="1" t="str">
        <f t="shared" si="1"/>
        <v>下端筋</v>
      </c>
      <c r="E31" t="str">
        <f t="shared" ref="E31" si="6">E30</f>
        <v>D13</v>
      </c>
      <c r="F31" cm="1">
        <f t="array" ref="F31">C$23-E$23-bar_1(E31,4)*1.5</f>
        <v>129</v>
      </c>
      <c r="G31">
        <f t="shared" si="2"/>
        <v>112.875</v>
      </c>
      <c r="H31" s="9">
        <f t="shared" si="3"/>
        <v>549.28017718715398</v>
      </c>
      <c r="I31" s="8" cm="1">
        <f t="array" ref="I31">H31/bar_1(E31,1)</f>
        <v>4.3250407652531813</v>
      </c>
      <c r="J31" s="9">
        <f t="shared" si="4"/>
        <v>231.21169354838705</v>
      </c>
    </row>
    <row r="32" spans="2:10" x14ac:dyDescent="0.4">
      <c r="B32" t="s">
        <v>15</v>
      </c>
      <c r="C32" s="6"/>
      <c r="D32" s="1"/>
      <c r="H32" s="9"/>
      <c r="I32" s="8"/>
      <c r="J32" s="9"/>
    </row>
    <row r="33" spans="2:10" x14ac:dyDescent="0.4">
      <c r="B33" t="s">
        <v>4</v>
      </c>
      <c r="C33" s="6">
        <f t="shared" ref="C33:C37" si="7">H16</f>
        <v>6.0433000000000003</v>
      </c>
      <c r="D33" s="1" t="str">
        <f t="shared" ref="D33:D37" si="8">C16</f>
        <v>上端筋</v>
      </c>
      <c r="E33" t="s">
        <v>18</v>
      </c>
      <c r="F33" cm="1">
        <f t="array" ref="F33">C$23-D$23-bar_1(E33,4)*1.5</f>
        <v>149</v>
      </c>
      <c r="G33">
        <f t="shared" ref="G33:G37" si="9">F33*7/8</f>
        <v>130.375</v>
      </c>
      <c r="H33" s="9">
        <f t="shared" ref="H33:H37" si="10">C33*1000*1000/(G$23*G33)</f>
        <v>295.24338782663921</v>
      </c>
      <c r="I33" s="8" cm="1">
        <f t="array" ref="I33">H33/bar_1(E33,1)</f>
        <v>2.3247510852491278</v>
      </c>
      <c r="J33" s="9">
        <f t="shared" ref="J33:J37" si="11">1000/I33</f>
        <v>430.15357917032082</v>
      </c>
    </row>
    <row r="34" spans="2:10" x14ac:dyDescent="0.4">
      <c r="B34" t="s">
        <v>5</v>
      </c>
      <c r="C34" s="6">
        <f t="shared" si="7"/>
        <v>9.0649999999999995</v>
      </c>
      <c r="D34" s="1" t="str">
        <f t="shared" si="8"/>
        <v>上端筋</v>
      </c>
      <c r="E34" t="str">
        <f t="shared" ref="E34:E37" si="12">E33</f>
        <v>D13</v>
      </c>
      <c r="F34" cm="1">
        <f t="array" ref="F34">C$23-D$23-bar_1(E34,4)*1.5</f>
        <v>149</v>
      </c>
      <c r="G34">
        <f t="shared" si="9"/>
        <v>130.375</v>
      </c>
      <c r="H34" s="9">
        <f t="shared" si="10"/>
        <v>442.86752447313302</v>
      </c>
      <c r="I34" s="8" cm="1">
        <f t="array" ref="I34">H34/bar_1(E34,1)</f>
        <v>3.4871458619931732</v>
      </c>
      <c r="J34" s="9">
        <f t="shared" si="11"/>
        <v>286.76747104247102</v>
      </c>
    </row>
    <row r="35" spans="2:10" x14ac:dyDescent="0.4">
      <c r="B35" t="s">
        <v>6</v>
      </c>
      <c r="C35" s="6">
        <f t="shared" si="7"/>
        <v>7.2519999999999998</v>
      </c>
      <c r="D35" s="1" t="str">
        <f t="shared" si="8"/>
        <v>上端筋</v>
      </c>
      <c r="E35" t="str">
        <f t="shared" si="12"/>
        <v>D13</v>
      </c>
      <c r="F35" cm="1">
        <f t="array" ref="F35">C$23-D$23-bar_1(E35,4)*1.5</f>
        <v>149</v>
      </c>
      <c r="G35">
        <f t="shared" si="9"/>
        <v>130.375</v>
      </c>
      <c r="H35" s="9">
        <f t="shared" si="10"/>
        <v>354.29401957850638</v>
      </c>
      <c r="I35" s="8" cm="1">
        <f t="array" ref="I35">H35/bar_1(E35,1)</f>
        <v>2.7897166895945382</v>
      </c>
      <c r="J35" s="9">
        <f t="shared" si="11"/>
        <v>358.45933880308883</v>
      </c>
    </row>
    <row r="36" spans="2:10" x14ac:dyDescent="0.4">
      <c r="B36" t="s">
        <v>16</v>
      </c>
      <c r="C36" s="6">
        <f t="shared" si="7"/>
        <v>9.2217000000000002</v>
      </c>
      <c r="D36" s="1" t="str">
        <f t="shared" si="8"/>
        <v>下端筋</v>
      </c>
      <c r="E36" t="str">
        <f t="shared" si="12"/>
        <v>D13</v>
      </c>
      <c r="F36" cm="1">
        <f t="array" ref="F36">C$23-E$23-bar_1(E36,4)*1.5</f>
        <v>129</v>
      </c>
      <c r="G36">
        <f t="shared" si="9"/>
        <v>112.875</v>
      </c>
      <c r="H36" s="9">
        <f t="shared" si="10"/>
        <v>520.37158516198656</v>
      </c>
      <c r="I36" s="8" cm="1">
        <f t="array" ref="I36">H36/bar_1(E36,1)</f>
        <v>4.0974140563935952</v>
      </c>
      <c r="J36" s="9">
        <f t="shared" si="11"/>
        <v>244.0563697582875</v>
      </c>
    </row>
    <row r="37" spans="2:10" x14ac:dyDescent="0.4">
      <c r="B37" t="s">
        <v>17</v>
      </c>
      <c r="C37" s="6">
        <f t="shared" si="7"/>
        <v>7.9089</v>
      </c>
      <c r="D37" s="1" t="str">
        <f t="shared" si="8"/>
        <v>下端筋</v>
      </c>
      <c r="E37" t="str">
        <f t="shared" si="12"/>
        <v>D13</v>
      </c>
      <c r="F37" cm="1">
        <f t="array" ref="F37">C$23-E$23-bar_1(E37,4)*1.5</f>
        <v>129</v>
      </c>
      <c r="G37">
        <f t="shared" si="9"/>
        <v>112.875</v>
      </c>
      <c r="H37" s="9">
        <f t="shared" si="10"/>
        <v>446.29155469031042</v>
      </c>
      <c r="I37" s="8" cm="1">
        <f t="array" ref="I37">H37/bar_1(E37,1)</f>
        <v>3.514106729844964</v>
      </c>
      <c r="J37" s="9">
        <f t="shared" si="11"/>
        <v>284.56733869438227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 (3)</vt:lpstr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 Matsushita</dc:creator>
  <cp:lastModifiedBy>Makoto Matsushita</cp:lastModifiedBy>
  <cp:lastPrinted>2020-10-27T13:24:00Z</cp:lastPrinted>
  <dcterms:created xsi:type="dcterms:W3CDTF">2020-10-24T01:40:51Z</dcterms:created>
  <dcterms:modified xsi:type="dcterms:W3CDTF">2020-10-28T05:07:39Z</dcterms:modified>
</cp:coreProperties>
</file>