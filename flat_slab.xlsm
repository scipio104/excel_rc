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0025134\github\excel_rc\"/>
    </mc:Choice>
  </mc:AlternateContent>
  <xr:revisionPtr revIDLastSave="0" documentId="10_ncr:100000_{672FAF2D-8E2A-4A4D-930D-3C4BD738AFDD}" xr6:coauthVersionLast="31" xr6:coauthVersionMax="45" xr10:uidLastSave="{00000000-0000-0000-0000-000000000000}"/>
  <bookViews>
    <workbookView xWindow="-120" yWindow="-120" windowWidth="20730" windowHeight="11160" xr2:uid="{A691D628-1A29-47E4-8A23-DFDBF6C9A157}"/>
  </bookViews>
  <sheets>
    <sheet name="Sheet1" sheetId="1" r:id="rId1"/>
    <sheet name="output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61" i="1" l="1"/>
  <c r="S62" i="1"/>
  <c r="T28" i="1"/>
  <c r="T36" i="1"/>
  <c r="T29" i="1"/>
  <c r="T37" i="1"/>
  <c r="T30" i="1"/>
  <c r="T34" i="1"/>
  <c r="T31" i="1"/>
  <c r="T33" i="1"/>
  <c r="T35" i="1"/>
  <c r="T27" i="1"/>
  <c r="I28" i="1"/>
  <c r="I36" i="1"/>
  <c r="I29" i="1"/>
  <c r="I37" i="1"/>
  <c r="I30" i="1"/>
  <c r="I35" i="1"/>
  <c r="I31" i="1"/>
  <c r="I34" i="1"/>
  <c r="I33" i="1"/>
  <c r="I27" i="1"/>
  <c r="U28" i="1"/>
  <c r="U36" i="1"/>
  <c r="U29" i="1"/>
  <c r="U37" i="1"/>
  <c r="U30" i="1"/>
  <c r="U34" i="1"/>
  <c r="U31" i="1"/>
  <c r="U33" i="1"/>
  <c r="U35" i="1"/>
  <c r="U27" i="1"/>
  <c r="J28" i="1"/>
  <c r="J36" i="1"/>
  <c r="J29" i="1"/>
  <c r="J37" i="1"/>
  <c r="J30" i="1"/>
  <c r="J34" i="1"/>
  <c r="J31" i="1"/>
  <c r="J33" i="1"/>
  <c r="J35" i="1"/>
  <c r="J27" i="1"/>
  <c r="J61" i="1"/>
  <c r="U62" i="1"/>
  <c r="T62" i="1" s="1"/>
  <c r="U70" i="1"/>
  <c r="T70" i="1" s="1"/>
  <c r="U67" i="1"/>
  <c r="U68" i="1"/>
  <c r="T68" i="1" s="1"/>
  <c r="T67" i="1"/>
  <c r="U71" i="1"/>
  <c r="T71" i="1" s="1"/>
  <c r="U69" i="1"/>
  <c r="T69" i="1" s="1"/>
  <c r="U63" i="1"/>
  <c r="T63" i="1" s="1"/>
  <c r="U64" i="1"/>
  <c r="T64" i="1" s="1"/>
  <c r="U65" i="1"/>
  <c r="T65" i="1" s="1"/>
  <c r="U61" i="1"/>
  <c r="T61" i="1"/>
  <c r="S63" i="1"/>
  <c r="S64" i="1"/>
  <c r="S65" i="1"/>
  <c r="S67" i="1"/>
  <c r="S68" i="1"/>
  <c r="S69" i="1"/>
  <c r="S70" i="1"/>
  <c r="S71" i="1"/>
  <c r="T51" i="1"/>
  <c r="T52" i="1"/>
  <c r="T53" i="1"/>
  <c r="T54" i="1"/>
  <c r="T50" i="1"/>
  <c r="U45" i="1"/>
  <c r="U46" i="1"/>
  <c r="U47" i="1"/>
  <c r="U48" i="1"/>
  <c r="U50" i="1"/>
  <c r="U51" i="1"/>
  <c r="U52" i="1"/>
  <c r="U53" i="1"/>
  <c r="U54" i="1"/>
  <c r="U44" i="1"/>
  <c r="M45" i="1"/>
  <c r="M46" i="1"/>
  <c r="M47" i="1"/>
  <c r="M48" i="1"/>
  <c r="M49" i="1"/>
  <c r="M50" i="1"/>
  <c r="M51" i="1"/>
  <c r="M52" i="1"/>
  <c r="M53" i="1"/>
  <c r="M54" i="1"/>
  <c r="M44" i="1"/>
  <c r="B62" i="1"/>
  <c r="B63" i="1"/>
  <c r="B64" i="1"/>
  <c r="B65" i="1"/>
  <c r="B66" i="1"/>
  <c r="B67" i="1"/>
  <c r="B68" i="1"/>
  <c r="B69" i="1"/>
  <c r="B70" i="1"/>
  <c r="B71" i="1"/>
  <c r="B61" i="1"/>
  <c r="C61" i="1"/>
  <c r="J49" i="1"/>
  <c r="C57" i="1"/>
  <c r="J70" i="1"/>
  <c r="I70" i="1" s="1"/>
  <c r="J67" i="1"/>
  <c r="I67" i="1" s="1"/>
  <c r="J71" i="1"/>
  <c r="I71" i="1" s="1"/>
  <c r="J68" i="1"/>
  <c r="I68" i="1" s="1"/>
  <c r="J69" i="1"/>
  <c r="I69" i="1" s="1"/>
  <c r="J62" i="1"/>
  <c r="I62" i="1" s="1"/>
  <c r="J63" i="1"/>
  <c r="I63" i="1" s="1"/>
  <c r="J64" i="1"/>
  <c r="I64" i="1" s="1"/>
  <c r="J65" i="1"/>
  <c r="I65" i="1" s="1"/>
  <c r="I61" i="1"/>
  <c r="S45" i="1"/>
  <c r="S53" i="1"/>
  <c r="S46" i="1"/>
  <c r="S54" i="1"/>
  <c r="S47" i="1"/>
  <c r="S48" i="1"/>
  <c r="S52" i="1"/>
  <c r="S50" i="1"/>
  <c r="S51" i="1"/>
  <c r="S44" i="1"/>
  <c r="R45" i="1"/>
  <c r="R53" i="1"/>
  <c r="R46" i="1"/>
  <c r="R54" i="1"/>
  <c r="R47" i="1"/>
  <c r="R52" i="1"/>
  <c r="R48" i="1"/>
  <c r="R50" i="1"/>
  <c r="R51" i="1"/>
  <c r="R44" i="1"/>
  <c r="N45" i="1"/>
  <c r="N53" i="1"/>
  <c r="N46" i="1"/>
  <c r="N54" i="1"/>
  <c r="N47" i="1"/>
  <c r="N52" i="1"/>
  <c r="N48" i="1"/>
  <c r="N50" i="1"/>
  <c r="N51" i="1"/>
  <c r="N44" i="1"/>
  <c r="H48" i="1"/>
  <c r="H47" i="1"/>
  <c r="H46" i="1"/>
  <c r="H45" i="1"/>
  <c r="G48" i="1"/>
  <c r="G47" i="1"/>
  <c r="G46" i="1"/>
  <c r="G45" i="1"/>
  <c r="G44" i="1"/>
  <c r="H44" i="1"/>
  <c r="C45" i="1"/>
  <c r="C46" i="1"/>
  <c r="C47" i="1"/>
  <c r="C48" i="1"/>
  <c r="C44" i="1"/>
  <c r="G52" i="1"/>
  <c r="G53" i="1"/>
  <c r="G51" i="1"/>
  <c r="G50" i="1"/>
  <c r="H51" i="1"/>
  <c r="H53" i="1"/>
  <c r="H52" i="1"/>
  <c r="H54" i="1"/>
  <c r="C52" i="1"/>
  <c r="C53" i="1"/>
  <c r="C54" i="1"/>
  <c r="G54" i="1"/>
  <c r="C51" i="1"/>
  <c r="F61" i="1" a="1"/>
  <c r="T48" i="1" l="1"/>
  <c r="T47" i="1"/>
  <c r="T46" i="1"/>
  <c r="T45" i="1"/>
  <c r="T44" i="1"/>
  <c r="F61" i="1"/>
  <c r="G61" i="1" s="1"/>
  <c r="E62" i="1"/>
  <c r="F62" i="1" a="1"/>
  <c r="F62" i="1"/>
  <c r="G62" i="1"/>
  <c r="E63" i="1"/>
  <c r="F63" i="1" a="1"/>
  <c r="F63" i="1"/>
  <c r="G63" i="1"/>
  <c r="F64" i="1" a="1"/>
  <c r="F64" i="1"/>
  <c r="G64" i="1" s="1"/>
  <c r="E65" i="1"/>
  <c r="F65" i="1" a="1"/>
  <c r="F65" i="1"/>
  <c r="G65" i="1"/>
  <c r="F67" i="1" a="1"/>
  <c r="F67" i="1"/>
  <c r="G67" i="1"/>
  <c r="C68" i="1"/>
  <c r="D68" i="1"/>
  <c r="E68" i="1"/>
  <c r="F68" i="1" a="1"/>
  <c r="F68" i="1"/>
  <c r="G68" i="1"/>
  <c r="H68" i="1"/>
  <c r="C69" i="1"/>
  <c r="D69" i="1"/>
  <c r="E69" i="1"/>
  <c r="F69" i="1" a="1"/>
  <c r="F69" i="1"/>
  <c r="G69" i="1"/>
  <c r="H69" i="1"/>
  <c r="C70" i="1"/>
  <c r="D70" i="1"/>
  <c r="E70" i="1"/>
  <c r="F70" i="1" a="1"/>
  <c r="F70" i="1"/>
  <c r="G70" i="1"/>
  <c r="H70" i="1"/>
  <c r="C71" i="1"/>
  <c r="D71" i="1"/>
  <c r="E71" i="1"/>
  <c r="F71" i="1" a="1"/>
  <c r="F71" i="1"/>
  <c r="G71" i="1"/>
  <c r="H71" i="1"/>
  <c r="F11" i="2"/>
  <c r="D8" i="2"/>
  <c r="E8" i="2"/>
  <c r="E9" i="2"/>
  <c r="E7" i="2"/>
  <c r="M42" i="1"/>
  <c r="P68" i="1"/>
  <c r="P69" i="1" s="1"/>
  <c r="P70" i="1" s="1"/>
  <c r="P71" i="1" s="1"/>
  <c r="P65" i="1"/>
  <c r="P62" i="1"/>
  <c r="P63" i="1" s="1"/>
  <c r="Q8" i="1"/>
  <c r="P34" i="1"/>
  <c r="P35" i="1" s="1"/>
  <c r="P36" i="1" s="1"/>
  <c r="P37" i="1" s="1"/>
  <c r="P31" i="1"/>
  <c r="P28" i="1"/>
  <c r="P29" i="1" s="1"/>
  <c r="H50" i="1"/>
  <c r="C50" i="1"/>
  <c r="D67" i="1" l="1"/>
  <c r="C67" i="1"/>
  <c r="H67" i="1" s="1"/>
  <c r="G9" i="2"/>
  <c r="E34" i="1"/>
  <c r="E35" i="1" s="1"/>
  <c r="E36" i="1" s="1"/>
  <c r="E37" i="1" s="1"/>
  <c r="E28" i="1"/>
  <c r="E29" i="1" s="1"/>
  <c r="E31" i="1" s="1"/>
  <c r="C23" i="1"/>
  <c r="I26" i="2"/>
  <c r="I27" i="2"/>
  <c r="I28" i="2"/>
  <c r="I25" i="2"/>
  <c r="D26" i="2" a="1"/>
  <c r="H27" i="2" a="1"/>
  <c r="D27" i="2" a="1"/>
  <c r="D25" i="2" a="1"/>
  <c r="H26" i="2" a="1"/>
  <c r="D28" i="2" a="1"/>
  <c r="H28" i="2" a="1"/>
  <c r="H25" i="2" a="1"/>
  <c r="D14" i="2" a="1"/>
  <c r="H13" i="2" a="1"/>
  <c r="I15" i="2" a="1"/>
  <c r="H12" i="2" a="1"/>
  <c r="F34" i="1" a="1"/>
  <c r="F29" i="1" a="1"/>
  <c r="F36" i="1" a="1"/>
  <c r="F35" i="1" a="1"/>
  <c r="F31" i="1" a="1"/>
  <c r="F28" i="1" a="1"/>
  <c r="F27" i="1" a="1"/>
  <c r="F33" i="1" a="1"/>
  <c r="F37" i="1" a="1"/>
  <c r="F30" i="1" a="1"/>
  <c r="H25" i="2" l="1"/>
  <c r="H28" i="2"/>
  <c r="D28" i="2"/>
  <c r="D35" i="2" s="1"/>
  <c r="C32" i="2"/>
  <c r="C31" i="2"/>
  <c r="H26" i="2"/>
  <c r="D25" i="2"/>
  <c r="D31" i="2" s="1"/>
  <c r="D27" i="2"/>
  <c r="D34" i="2" s="1"/>
  <c r="C34" i="2"/>
  <c r="C35" i="2"/>
  <c r="H27" i="2"/>
  <c r="D26" i="2"/>
  <c r="D32" i="2" s="1"/>
  <c r="N23" i="1"/>
  <c r="H12" i="2"/>
  <c r="H13" i="2"/>
  <c r="D14" i="2"/>
  <c r="D21" i="2" s="1"/>
  <c r="I15" i="2"/>
  <c r="C22" i="2" s="1"/>
  <c r="F35" i="1"/>
  <c r="G35" i="1" s="1"/>
  <c r="F34" i="1"/>
  <c r="G34" i="1" s="1"/>
  <c r="F33" i="1"/>
  <c r="G33" i="1" s="1"/>
  <c r="F37" i="1"/>
  <c r="G37" i="1" s="1"/>
  <c r="F36" i="1"/>
  <c r="G36" i="1" s="1"/>
  <c r="F31" i="1"/>
  <c r="G31" i="1" s="1"/>
  <c r="F30" i="1"/>
  <c r="G30" i="1" s="1"/>
  <c r="F29" i="1"/>
  <c r="G29" i="1" s="1"/>
  <c r="F28" i="1"/>
  <c r="G28" i="1" s="1"/>
  <c r="F27" i="1"/>
  <c r="G27" i="1" s="1"/>
  <c r="E4" i="1"/>
  <c r="E5" i="1" s="1"/>
  <c r="D8" i="1" s="1"/>
  <c r="D12" i="2" a="1"/>
  <c r="H14" i="2" a="1"/>
  <c r="H15" i="2" a="1"/>
  <c r="I14" i="2" a="1"/>
  <c r="I13" i="2" a="1"/>
  <c r="D13" i="2" a="1"/>
  <c r="I12" i="2" a="1"/>
  <c r="D15" i="2" a="1"/>
  <c r="G10" i="1" a="1"/>
  <c r="H20" i="1" a="1"/>
  <c r="H19" i="1" a="1"/>
  <c r="G18" i="1" a="1"/>
  <c r="H17" i="1" a="1"/>
  <c r="C13" i="1" a="1"/>
  <c r="Q29" i="1"/>
  <c r="Q28" i="1"/>
  <c r="Q30" i="1"/>
  <c r="Q31" i="1"/>
  <c r="Q33" i="1"/>
  <c r="Q27" i="1"/>
  <c r="Q34" i="1"/>
  <c r="Q35" i="1"/>
  <c r="Q36" i="1"/>
  <c r="Q37" i="1"/>
  <c r="Q61" i="1" a="1"/>
  <c r="Q71" i="1" a="1"/>
  <c r="Q62" i="1" a="1"/>
  <c r="Q68" i="1" a="1"/>
  <c r="Q65" i="1" a="1"/>
  <c r="Q67" i="1" a="1"/>
  <c r="Q63" i="1" a="1"/>
  <c r="Q69" i="1" a="1"/>
  <c r="Q64" i="1" a="1"/>
  <c r="Q70" i="1" a="1"/>
  <c r="C11" i="1" a="1"/>
  <c r="G11" i="1" a="1"/>
  <c r="H12" i="1" a="1"/>
  <c r="G16" i="1" a="1"/>
  <c r="H14" i="1" a="1"/>
  <c r="G17" i="1" a="1"/>
  <c r="G19" i="1" a="1"/>
  <c r="G13" i="1" a="1"/>
  <c r="H13" i="1" a="1"/>
  <c r="C65" i="1" l="1"/>
  <c r="H65" i="1" s="1"/>
  <c r="C64" i="1"/>
  <c r="H64" i="1" s="1"/>
  <c r="C63" i="1"/>
  <c r="H63" i="1" s="1"/>
  <c r="C62" i="1"/>
  <c r="H62" i="1" s="1"/>
  <c r="H61" i="1"/>
  <c r="D15" i="2"/>
  <c r="D22" i="2" s="1"/>
  <c r="I14" i="2"/>
  <c r="C21" i="2" s="1"/>
  <c r="Q70" i="1"/>
  <c r="R70" i="1" s="1"/>
  <c r="Q64" i="1"/>
  <c r="R64" i="1" s="1"/>
  <c r="Q69" i="1"/>
  <c r="R69" i="1" s="1"/>
  <c r="Q63" i="1"/>
  <c r="R63" i="1" s="1"/>
  <c r="Q67" i="1"/>
  <c r="R67" i="1" s="1"/>
  <c r="Q65" i="1"/>
  <c r="R65" i="1" s="1"/>
  <c r="Q68" i="1"/>
  <c r="R68" i="1" s="1"/>
  <c r="Q62" i="1"/>
  <c r="R62" i="1" s="1"/>
  <c r="Q71" i="1"/>
  <c r="R71" i="1" s="1"/>
  <c r="Q61" i="1"/>
  <c r="R61" i="1" s="1"/>
  <c r="R37" i="1"/>
  <c r="R36" i="1"/>
  <c r="R35" i="1"/>
  <c r="R34" i="1"/>
  <c r="R27" i="1"/>
  <c r="R33" i="1"/>
  <c r="R31" i="1"/>
  <c r="R30" i="1"/>
  <c r="R28" i="1"/>
  <c r="R29" i="1"/>
  <c r="D63" i="1"/>
  <c r="D62" i="1"/>
  <c r="D61" i="1"/>
  <c r="D64" i="1"/>
  <c r="D65" i="1"/>
  <c r="N57" i="1"/>
  <c r="D42" i="1"/>
  <c r="O8" i="1"/>
  <c r="G10" i="1"/>
  <c r="H14" i="2"/>
  <c r="I13" i="2"/>
  <c r="C19" i="2" s="1"/>
  <c r="D12" i="2"/>
  <c r="D18" i="2" s="1"/>
  <c r="H15" i="2"/>
  <c r="D13" i="2"/>
  <c r="D19" i="2" s="1"/>
  <c r="I12" i="2"/>
  <c r="C18" i="2" s="1"/>
  <c r="H19" i="1"/>
  <c r="H20" i="1"/>
  <c r="G19" i="1"/>
  <c r="G18" i="1"/>
  <c r="H17" i="1"/>
  <c r="G17" i="1"/>
  <c r="G16" i="1"/>
  <c r="G13" i="1"/>
  <c r="C13" i="1"/>
  <c r="D30" i="1" s="1"/>
  <c r="C11" i="1"/>
  <c r="D28" i="1" s="1"/>
  <c r="H14" i="1"/>
  <c r="H13" i="1"/>
  <c r="H12" i="1"/>
  <c r="G11" i="1"/>
  <c r="H16" i="1" a="1"/>
  <c r="C18" i="1" a="1"/>
  <c r="H10" i="1" a="1"/>
  <c r="C20" i="1" a="1"/>
  <c r="G14" i="1" a="1"/>
  <c r="C17" i="1" a="1"/>
  <c r="G12" i="1" a="1"/>
  <c r="G20" i="1" a="1"/>
  <c r="H18" i="1" a="1"/>
  <c r="C14" i="1" a="1"/>
  <c r="N14" i="1" a="1"/>
  <c r="N12" i="1" a="1"/>
  <c r="S11" i="1" a="1"/>
  <c r="S18" i="1" a="1"/>
  <c r="N19" i="1" a="1"/>
  <c r="N17" i="1" a="1"/>
  <c r="R16" i="1" a="1"/>
  <c r="R10" i="1" a="1"/>
  <c r="R17" i="1" a="1"/>
  <c r="N10" i="1" a="1"/>
  <c r="S12" i="1" a="1"/>
  <c r="S20" i="1" a="1"/>
  <c r="N16" i="1" a="1"/>
  <c r="R19" i="1" a="1"/>
  <c r="S13" i="1" a="1"/>
  <c r="N18" i="1" a="1"/>
  <c r="R20" i="1" a="1"/>
  <c r="R12" i="1" a="1"/>
  <c r="S14" i="1" a="1"/>
  <c r="S16" i="1" a="1"/>
  <c r="R11" i="1" a="1"/>
  <c r="N11" i="1" a="1"/>
  <c r="N13" i="1" a="1"/>
  <c r="N20" i="1" a="1"/>
  <c r="S19" i="1" a="1"/>
  <c r="S17" i="1" a="1"/>
  <c r="R14" i="1" a="1"/>
  <c r="R13" i="1" a="1"/>
  <c r="R18" i="1" a="1"/>
  <c r="S10" i="1"/>
  <c r="C10" i="1" a="1"/>
  <c r="C12" i="1" a="1"/>
  <c r="C16" i="1" a="1"/>
  <c r="C19" i="1" a="1"/>
  <c r="H11" i="1" a="1"/>
  <c r="C29" i="1" l="1"/>
  <c r="H29" i="1" s="1"/>
  <c r="J46" i="1"/>
  <c r="I46" i="1" s="1"/>
  <c r="C30" i="1"/>
  <c r="H30" i="1" s="1"/>
  <c r="J47" i="1"/>
  <c r="I47" i="1" s="1"/>
  <c r="C31" i="1"/>
  <c r="H31" i="1" s="1"/>
  <c r="J48" i="1"/>
  <c r="I48" i="1" s="1"/>
  <c r="C37" i="1"/>
  <c r="H37" i="1" s="1"/>
  <c r="J54" i="1"/>
  <c r="I54" i="1" s="1"/>
  <c r="C36" i="1"/>
  <c r="H36" i="1" s="1"/>
  <c r="J53" i="1"/>
  <c r="I53" i="1" s="1"/>
  <c r="C34" i="1"/>
  <c r="H34" i="1" s="1"/>
  <c r="J51" i="1"/>
  <c r="I51" i="1" s="1"/>
  <c r="O69" i="1"/>
  <c r="N64" i="1"/>
  <c r="O62" i="1"/>
  <c r="N61" i="1"/>
  <c r="N68" i="1"/>
  <c r="O63" i="1"/>
  <c r="N71" i="1"/>
  <c r="O67" i="1"/>
  <c r="N62" i="1"/>
  <c r="N67" i="1"/>
  <c r="O70" i="1"/>
  <c r="N65" i="1"/>
  <c r="O61" i="1"/>
  <c r="O71" i="1"/>
  <c r="O65" i="1"/>
  <c r="N69" i="1"/>
  <c r="O64" i="1"/>
  <c r="O68" i="1"/>
  <c r="N63" i="1"/>
  <c r="N70" i="1"/>
  <c r="N27" i="1"/>
  <c r="S27" i="1" s="1"/>
  <c r="R18" i="1"/>
  <c r="R13" i="1"/>
  <c r="R14" i="1"/>
  <c r="S17" i="1"/>
  <c r="N34" i="1" s="1"/>
  <c r="S34" i="1" s="1"/>
  <c r="S19" i="1"/>
  <c r="N36" i="1" s="1"/>
  <c r="S36" i="1" s="1"/>
  <c r="N20" i="1"/>
  <c r="O37" i="1" s="1"/>
  <c r="N13" i="1"/>
  <c r="O30" i="1" s="1"/>
  <c r="N11" i="1"/>
  <c r="O28" i="1" s="1"/>
  <c r="R11" i="1"/>
  <c r="S16" i="1"/>
  <c r="N33" i="1" s="1"/>
  <c r="S33" i="1" s="1"/>
  <c r="S14" i="1"/>
  <c r="N31" i="1" s="1"/>
  <c r="S31" i="1" s="1"/>
  <c r="R12" i="1"/>
  <c r="R20" i="1"/>
  <c r="N18" i="1"/>
  <c r="O35" i="1" s="1"/>
  <c r="S13" i="1"/>
  <c r="N30" i="1" s="1"/>
  <c r="S30" i="1" s="1"/>
  <c r="R19" i="1"/>
  <c r="N16" i="1"/>
  <c r="O33" i="1" s="1"/>
  <c r="S20" i="1"/>
  <c r="N37" i="1" s="1"/>
  <c r="S37" i="1" s="1"/>
  <c r="S12" i="1"/>
  <c r="N29" i="1" s="1"/>
  <c r="S29" i="1" s="1"/>
  <c r="N10" i="1"/>
  <c r="O27" i="1" s="1"/>
  <c r="R17" i="1"/>
  <c r="R10" i="1"/>
  <c r="R16" i="1"/>
  <c r="N17" i="1"/>
  <c r="O34" i="1" s="1"/>
  <c r="N19" i="1"/>
  <c r="O36" i="1" s="1"/>
  <c r="S18" i="1"/>
  <c r="N35" i="1" s="1"/>
  <c r="S35" i="1" s="1"/>
  <c r="S11" i="1"/>
  <c r="N28" i="1" s="1"/>
  <c r="S28" i="1" s="1"/>
  <c r="N12" i="1"/>
  <c r="O29" i="1" s="1"/>
  <c r="N14" i="1"/>
  <c r="O31" i="1" s="1"/>
  <c r="O42" i="1"/>
  <c r="H10" i="1"/>
  <c r="C19" i="1"/>
  <c r="D36" i="1" s="1"/>
  <c r="G20" i="1"/>
  <c r="C14" i="1"/>
  <c r="D31" i="1" s="1"/>
  <c r="C17" i="1"/>
  <c r="D34" i="1" s="1"/>
  <c r="G14" i="1"/>
  <c r="C18" i="1"/>
  <c r="D35" i="1" s="1"/>
  <c r="H11" i="1"/>
  <c r="C16" i="1"/>
  <c r="D33" i="1" s="1"/>
  <c r="C10" i="1"/>
  <c r="D27" i="1" s="1"/>
  <c r="H18" i="1"/>
  <c r="G12" i="1"/>
  <c r="C20" i="1"/>
  <c r="D37" i="1" s="1"/>
  <c r="H16" i="1"/>
  <c r="C12" i="1"/>
  <c r="D29" i="1" s="1"/>
  <c r="C28" i="1" l="1"/>
  <c r="H28" i="1" s="1"/>
  <c r="J45" i="1"/>
  <c r="I45" i="1" s="1"/>
  <c r="C27" i="1"/>
  <c r="H27" i="1" s="1"/>
  <c r="J44" i="1"/>
  <c r="I44" i="1" s="1"/>
  <c r="C33" i="1"/>
  <c r="H33" i="1" s="1"/>
  <c r="J50" i="1"/>
  <c r="I50" i="1" s="1"/>
  <c r="C35" i="1"/>
  <c r="H35" i="1" s="1"/>
  <c r="J52" i="1"/>
  <c r="I52" i="1" s="1"/>
  <c r="F34" i="2" l="1" a="1"/>
  <c r="F32" i="2" a="1"/>
  <c r="F31" i="2"/>
  <c r="F35" i="2" a="1"/>
  <c r="F21" i="2" a="1"/>
  <c r="F22" i="2" a="1"/>
  <c r="F18" i="2"/>
  <c r="F19" i="2"/>
  <c r="G18" i="2" l="1"/>
  <c r="H18" i="2" s="1"/>
  <c r="F22" i="2"/>
  <c r="G22" i="2" s="1"/>
  <c r="H22" i="2" s="1"/>
  <c r="F21" i="2"/>
  <c r="G21" i="2" s="1"/>
  <c r="H21" i="2" s="1"/>
  <c r="F35" i="2"/>
  <c r="G35" i="2" s="1"/>
  <c r="H35" i="2" s="1"/>
  <c r="G31" i="2"/>
  <c r="H31" i="2" s="1"/>
  <c r="F32" i="2"/>
  <c r="G32" i="2" s="1"/>
  <c r="H32" i="2" s="1"/>
  <c r="F34" i="2"/>
  <c r="G34" i="2" s="1"/>
  <c r="H34" i="2" s="1"/>
  <c r="G19" i="2"/>
  <c r="H19" i="2" s="1"/>
  <c r="J18" i="2"/>
  <c r="I18" i="2" s="1"/>
  <c r="J32" i="2"/>
  <c r="I32" i="2" s="1"/>
  <c r="J22" i="2"/>
  <c r="I22" i="2" s="1"/>
  <c r="J31" i="2"/>
  <c r="I31" i="2" s="1"/>
  <c r="J19" i="2"/>
  <c r="I19" i="2" s="1"/>
  <c r="J21" i="2"/>
  <c r="I21" i="2" s="1"/>
  <c r="J34" i="2"/>
  <c r="I34" i="2" s="1"/>
  <c r="J35" i="2"/>
  <c r="I35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<sst xmlns="http://schemas.openxmlformats.org/spreadsheetml/2006/main" count="231" uniqueCount="65">
  <si>
    <t>仕上げ</t>
    <rPh sb="0" eb="2">
      <t>シア</t>
    </rPh>
    <phoneticPr fontId="1"/>
  </si>
  <si>
    <t>L(スパン）</t>
    <phoneticPr fontId="1"/>
  </si>
  <si>
    <t>Σ＝</t>
    <phoneticPr fontId="1"/>
  </si>
  <si>
    <t>t(スラブ厚)</t>
    <rPh sb="5" eb="6">
      <t>アツ</t>
    </rPh>
    <phoneticPr fontId="1"/>
  </si>
  <si>
    <t>Mf1</t>
    <phoneticPr fontId="1"/>
  </si>
  <si>
    <t>Mf3</t>
    <phoneticPr fontId="1"/>
  </si>
  <si>
    <t>Mf5</t>
    <phoneticPr fontId="1"/>
  </si>
  <si>
    <t>Mg1</t>
    <phoneticPr fontId="1"/>
  </si>
  <si>
    <t>Mg2</t>
    <phoneticPr fontId="1"/>
  </si>
  <si>
    <t>Mg3</t>
    <phoneticPr fontId="1"/>
  </si>
  <si>
    <t>Mg5</t>
    <phoneticPr fontId="1"/>
  </si>
  <si>
    <t>g(固定荷重）</t>
    <rPh sb="2" eb="4">
      <t>コテイ</t>
    </rPh>
    <rPh sb="4" eb="6">
      <t>カジュウ</t>
    </rPh>
    <phoneticPr fontId="1"/>
  </si>
  <si>
    <t>p(積載荷重）</t>
    <rPh sb="2" eb="4">
      <t>セキサイ</t>
    </rPh>
    <rPh sb="4" eb="6">
      <t>カジュウ</t>
    </rPh>
    <phoneticPr fontId="1"/>
  </si>
  <si>
    <t>柱列帯</t>
    <rPh sb="0" eb="1">
      <t>チュウ</t>
    </rPh>
    <rPh sb="1" eb="2">
      <t>レツ</t>
    </rPh>
    <rPh sb="2" eb="3">
      <t>オビ</t>
    </rPh>
    <phoneticPr fontId="1"/>
  </si>
  <si>
    <t>Mg4</t>
    <phoneticPr fontId="1"/>
  </si>
  <si>
    <t>柱間帯</t>
    <rPh sb="0" eb="1">
      <t>ハシラ</t>
    </rPh>
    <rPh sb="1" eb="2">
      <t>アイダ</t>
    </rPh>
    <rPh sb="2" eb="3">
      <t>オビ</t>
    </rPh>
    <phoneticPr fontId="1"/>
  </si>
  <si>
    <t>Mf2</t>
    <phoneticPr fontId="1"/>
  </si>
  <si>
    <t>Mf4</t>
    <phoneticPr fontId="1"/>
  </si>
  <si>
    <t>D13</t>
    <phoneticPr fontId="1"/>
  </si>
  <si>
    <t>t</t>
    <phoneticPr fontId="1"/>
  </si>
  <si>
    <t>上かぶり</t>
    <rPh sb="0" eb="1">
      <t>ウエ</t>
    </rPh>
    <phoneticPr fontId="1"/>
  </si>
  <si>
    <t>下かぶり</t>
    <rPh sb="0" eb="1">
      <t>シタ</t>
    </rPh>
    <phoneticPr fontId="1"/>
  </si>
  <si>
    <t>M</t>
    <phoneticPr fontId="1"/>
  </si>
  <si>
    <t>位置</t>
    <rPh sb="0" eb="2">
      <t>イチ</t>
    </rPh>
    <phoneticPr fontId="1"/>
  </si>
  <si>
    <t>上・下</t>
    <rPh sb="0" eb="1">
      <t>ウエ</t>
    </rPh>
    <rPh sb="2" eb="3">
      <t>シタ</t>
    </rPh>
    <phoneticPr fontId="1"/>
  </si>
  <si>
    <t>ft</t>
    <phoneticPr fontId="1"/>
  </si>
  <si>
    <t>D13D16</t>
    <phoneticPr fontId="1"/>
  </si>
  <si>
    <t>長辺</t>
    <rPh sb="0" eb="2">
      <t>チョウヘン</t>
    </rPh>
    <phoneticPr fontId="1"/>
  </si>
  <si>
    <t>短辺</t>
    <rPh sb="0" eb="2">
      <t>タンペン</t>
    </rPh>
    <phoneticPr fontId="1"/>
  </si>
  <si>
    <t>外側長辺</t>
    <rPh sb="0" eb="2">
      <t>ソトガワ</t>
    </rPh>
    <rPh sb="2" eb="4">
      <t>チョウヘン</t>
    </rPh>
    <phoneticPr fontId="1"/>
  </si>
  <si>
    <t>外側短辺</t>
    <rPh sb="0" eb="2">
      <t>ソトガワ</t>
    </rPh>
    <rPh sb="2" eb="4">
      <t>タンペン</t>
    </rPh>
    <phoneticPr fontId="1"/>
  </si>
  <si>
    <t>位置</t>
    <rPh sb="0" eb="2">
      <t>イチ</t>
    </rPh>
    <phoneticPr fontId="1"/>
  </si>
  <si>
    <t>use</t>
    <phoneticPr fontId="1"/>
  </si>
  <si>
    <t>d</t>
    <phoneticPr fontId="1"/>
  </si>
  <si>
    <t>j</t>
    <phoneticPr fontId="1"/>
  </si>
  <si>
    <t>at</t>
    <phoneticPr fontId="1"/>
  </si>
  <si>
    <t>フラットプレートの検討</t>
    <rPh sb="9" eb="11">
      <t>ケントウ</t>
    </rPh>
    <phoneticPr fontId="1"/>
  </si>
  <si>
    <t>1.諸条件</t>
    <rPh sb="2" eb="5">
      <t>ショジョウケン</t>
    </rPh>
    <phoneticPr fontId="1"/>
  </si>
  <si>
    <t>長辺スパン：L</t>
    <rPh sb="0" eb="2">
      <t>チョウヘン</t>
    </rPh>
    <phoneticPr fontId="1"/>
  </si>
  <si>
    <t>短辺スパン：L</t>
    <rPh sb="0" eb="1">
      <t>タン</t>
    </rPh>
    <rPh sb="1" eb="2">
      <t>ヘン</t>
    </rPh>
    <phoneticPr fontId="1"/>
  </si>
  <si>
    <t>m</t>
    <phoneticPr fontId="1"/>
  </si>
  <si>
    <t>mm</t>
    <phoneticPr fontId="1"/>
  </si>
  <si>
    <t>上ｶﾌﾞﾘ</t>
    <rPh sb="0" eb="1">
      <t>ウエ</t>
    </rPh>
    <phoneticPr fontId="1"/>
  </si>
  <si>
    <t>下ｶﾌﾞﾘ</t>
    <rPh sb="0" eb="1">
      <t>シタ</t>
    </rPh>
    <phoneticPr fontId="1"/>
  </si>
  <si>
    <t>スラブ厚:t</t>
    <rPh sb="3" eb="4">
      <t>アツ</t>
    </rPh>
    <phoneticPr fontId="1"/>
  </si>
  <si>
    <t>2.荷重事項</t>
    <rPh sb="2" eb="4">
      <t>カジュウ</t>
    </rPh>
    <rPh sb="4" eb="6">
      <t>ジコウ</t>
    </rPh>
    <phoneticPr fontId="1"/>
  </si>
  <si>
    <t>3.長辺応力算定</t>
    <rPh sb="2" eb="4">
      <t>チョウヘン</t>
    </rPh>
    <rPh sb="4" eb="6">
      <t>オウリョク</t>
    </rPh>
    <rPh sb="6" eb="8">
      <t>サンテイ</t>
    </rPh>
    <phoneticPr fontId="1"/>
  </si>
  <si>
    <t>ｍ</t>
    <phoneticPr fontId="1"/>
  </si>
  <si>
    <t>4.長辺断面算定</t>
    <rPh sb="2" eb="4">
      <t>チョウヘン</t>
    </rPh>
    <rPh sb="4" eb="6">
      <t>ダンメン</t>
    </rPh>
    <rPh sb="6" eb="8">
      <t>サンテイ</t>
    </rPh>
    <phoneticPr fontId="1"/>
  </si>
  <si>
    <t>5.短辺応力算定</t>
    <rPh sb="2" eb="4">
      <t>タンペン</t>
    </rPh>
    <rPh sb="4" eb="6">
      <t>オウリョク</t>
    </rPh>
    <rPh sb="6" eb="8">
      <t>サンテイ</t>
    </rPh>
    <phoneticPr fontId="1"/>
  </si>
  <si>
    <t>M</t>
    <phoneticPr fontId="1"/>
  </si>
  <si>
    <t>4.短辺断面算定</t>
    <rPh sb="2" eb="4">
      <t>タンペン</t>
    </rPh>
    <rPh sb="4" eb="6">
      <t>ダンメン</t>
    </rPh>
    <rPh sb="6" eb="8">
      <t>サンテイ</t>
    </rPh>
    <phoneticPr fontId="1"/>
  </si>
  <si>
    <t>at_n</t>
    <phoneticPr fontId="1"/>
  </si>
  <si>
    <t>at_n=M/(ft*j)</t>
    <phoneticPr fontId="1"/>
  </si>
  <si>
    <t>USE_BAR</t>
    <phoneticPr fontId="1"/>
  </si>
  <si>
    <t>Mf1'</t>
    <phoneticPr fontId="1"/>
  </si>
  <si>
    <t>Mf3'</t>
    <phoneticPr fontId="1"/>
  </si>
  <si>
    <t>Mf5'</t>
    <phoneticPr fontId="1"/>
  </si>
  <si>
    <t>Mf2'</t>
    <phoneticPr fontId="1"/>
  </si>
  <si>
    <t>Mf4'</t>
    <phoneticPr fontId="1"/>
  </si>
  <si>
    <t>Mg1'</t>
    <phoneticPr fontId="1"/>
  </si>
  <si>
    <t>Mg3'</t>
    <phoneticPr fontId="1"/>
  </si>
  <si>
    <t>Mg5'</t>
    <phoneticPr fontId="1"/>
  </si>
  <si>
    <t>Mg2'</t>
    <phoneticPr fontId="1"/>
  </si>
  <si>
    <t>Mg4'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</si>
</sst>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0.0000"/>
    <numFmt numFmtId="178" formatCode="0.0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2060"/>
      <name val="游ゴシック"/>
      <family val="2"/>
      <charset val="128"/>
      <scheme val="minor"/>
    </font>
    <font>
      <sz val="11"/>
      <color rgb="FF00206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 inden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  <xf numFmtId="178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>
      <alignment vertical="center"/>
    </xf>
    <xf numFmtId="176" fontId="3" fillId="0" borderId="0" xfId="0" applyNumberFormat="1" applyFont="1" applyAlignment="1">
      <alignment horizontal="right" vertical="center"/>
    </xf>
    <xf numFmtId="177" fontId="3" fillId="0" borderId="0" xfId="0" applyNumberFormat="1" applyFont="1">
      <alignment vertical="center"/>
    </xf>
    <xf numFmtId="1" fontId="3" fillId="0" borderId="0" xfId="0" applyNumberFormat="1" applyFont="1">
      <alignment vertical="center"/>
    </xf>
    <xf numFmtId="1" fontId="3" fillId="0" borderId="0" xfId="0" applyNumberFormat="1" applyFon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659-6FCE-42A9-A2D4-642192DF7692}">
  <sheetPr codeName="Sheet1"/>
  <dimension ref="B3:U71"/>
  <sheetViews>
    <sheetView tabSelected="1" topLeftCell="A22" workbookViewId="0">
      <selection activeCell="T32" sqref="T32"/>
    </sheetView>
  </sheetViews>
  <sheetFormatPr defaultRowHeight="18.75" x14ac:dyDescent="0.4"/>
  <cols>
    <col min="1" max="1" width="2.625" customWidth="1"/>
    <col min="2" max="11" width="8.125" customWidth="1"/>
    <col min="12" max="12" width="2.625" customWidth="1"/>
    <col min="13" max="23" width="8.125" customWidth="1"/>
  </cols>
  <sheetData>
    <row r="3" spans="2:19" x14ac:dyDescent="0.4">
      <c r="C3" s="2" t="s">
        <v>0</v>
      </c>
      <c r="E3">
        <v>10060</v>
      </c>
    </row>
    <row r="4" spans="2:19" x14ac:dyDescent="0.4">
      <c r="C4" s="2" t="s">
        <v>3</v>
      </c>
      <c r="D4">
        <v>250</v>
      </c>
      <c r="E4">
        <f>D4*24000/1000</f>
        <v>6000</v>
      </c>
    </row>
    <row r="5" spans="2:19" x14ac:dyDescent="0.4">
      <c r="C5" s="2"/>
      <c r="D5" s="3" t="s">
        <v>2</v>
      </c>
      <c r="E5">
        <f>SUM(E3:E4)</f>
        <v>16060</v>
      </c>
    </row>
    <row r="6" spans="2:19" x14ac:dyDescent="0.4">
      <c r="B6" t="s">
        <v>27</v>
      </c>
      <c r="C6" s="2"/>
      <c r="D6" s="3"/>
      <c r="M6" t="s">
        <v>28</v>
      </c>
    </row>
    <row r="7" spans="2:19" x14ac:dyDescent="0.4">
      <c r="B7" s="5" t="s">
        <v>1</v>
      </c>
      <c r="C7" s="5"/>
      <c r="D7" s="5" t="s">
        <v>11</v>
      </c>
      <c r="E7" s="5"/>
      <c r="F7" s="5" t="s">
        <v>12</v>
      </c>
      <c r="G7" s="5"/>
      <c r="M7" s="5" t="s">
        <v>1</v>
      </c>
      <c r="N7" s="5"/>
      <c r="O7" s="5" t="s">
        <v>11</v>
      </c>
      <c r="P7" s="5"/>
      <c r="Q7" s="5" t="s">
        <v>12</v>
      </c>
      <c r="R7" s="5"/>
    </row>
    <row r="8" spans="2:19" x14ac:dyDescent="0.4">
      <c r="B8" s="4">
        <v>4</v>
      </c>
      <c r="C8" s="4"/>
      <c r="D8" s="4">
        <f>E5</f>
        <v>16060</v>
      </c>
      <c r="E8" s="4"/>
      <c r="F8" s="4">
        <v>2900</v>
      </c>
      <c r="G8" s="4"/>
      <c r="M8" s="4">
        <v>3.5</v>
      </c>
      <c r="N8" s="4"/>
      <c r="O8" s="4">
        <f>D8</f>
        <v>16060</v>
      </c>
      <c r="P8" s="4"/>
      <c r="Q8" s="4">
        <f>F8</f>
        <v>2900</v>
      </c>
      <c r="R8" s="4"/>
    </row>
    <row r="9" spans="2:19" x14ac:dyDescent="0.4">
      <c r="B9" t="s">
        <v>13</v>
      </c>
      <c r="M9" t="s">
        <v>13</v>
      </c>
    </row>
    <row r="10" spans="2:19" x14ac:dyDescent="0.4">
      <c r="B10" t="s">
        <v>7</v>
      </c>
      <c r="C10" s="1" t="str" cm="1">
        <f t="array" ref="C10">flat_slab(B$8,D$8/10000,F$8/1000,B10,3)</f>
        <v>上端筋</v>
      </c>
      <c r="G10" s="7" t="str" cm="1">
        <f t="array" ref="G10">flat_slab(B$8,D$8/10000,F$8/1000,B10,2)</f>
        <v>Mg1=L ^ 2 / 12 * (g + p)=</v>
      </c>
      <c r="H10" s="6" cm="1">
        <f t="array" ref="H10">ROUND(flat_slab(B$8,D$8/1000,F$8/1000,B10,1),4)</f>
        <v>25.28</v>
      </c>
      <c r="M10" t="s">
        <v>7</v>
      </c>
      <c r="N10" s="1" t="str" cm="1">
        <f t="array" ref="N10">flat_slab(M$8,O$8/10000,Q$8/1000,M10,3)</f>
        <v>上端筋</v>
      </c>
      <c r="R10" s="7" t="str" cm="1">
        <f t="array" ref="R10">flat_slab(M$8,O$8/10000,Q$8/1000,M10,2)</f>
        <v>Mg1=L ^ 2 / 12 * (g + p)=</v>
      </c>
      <c r="S10" s="6">
        <f>ROUND(flat_slab(M$8,O$8/1000,Q$8/1000,M10,1),4)</f>
        <v>19.355</v>
      </c>
    </row>
    <row r="11" spans="2:19" x14ac:dyDescent="0.4">
      <c r="B11" t="s">
        <v>9</v>
      </c>
      <c r="C11" s="1" t="str" cm="1">
        <f t="array" ref="C11">flat_slab(B$8,D$8/10000,F$8/1000,B11,3)</f>
        <v>上端筋</v>
      </c>
      <c r="G11" s="7" t="str" cm="1">
        <f t="array" ref="G11">flat_slab(B$8,D$8/10000,F$8/1000,B11,2)</f>
        <v>Mg1=L ^ 2 / 8 * (g + p)=</v>
      </c>
      <c r="H11" s="6" cm="1">
        <f t="array" ref="H11">ROUND(flat_slab(B$8,D$8/1000,F$8/1000,B11,1),4)</f>
        <v>37.92</v>
      </c>
      <c r="M11" t="s">
        <v>9</v>
      </c>
      <c r="N11" s="1" t="str" cm="1">
        <f t="array" ref="N11">flat_slab(M$8,O$8/10000,Q$8/1000,M11,3)</f>
        <v>上端筋</v>
      </c>
      <c r="R11" s="7" t="str" cm="1">
        <f t="array" ref="R11">flat_slab(M$8,O$8/10000,Q$8/1000,M11,2)</f>
        <v>Mg1=L ^ 2 / 8 * (g + p)=</v>
      </c>
      <c r="S11" s="6" cm="1">
        <f t="array" ref="S11">ROUND(flat_slab(M$8,O$8/1000,Q$8/1000,M11,1),4)</f>
        <v>29.032499999999999</v>
      </c>
    </row>
    <row r="12" spans="2:19" x14ac:dyDescent="0.4">
      <c r="B12" t="s">
        <v>10</v>
      </c>
      <c r="C12" s="1" t="str" cm="1">
        <f t="array" ref="C12">flat_slab(B$8,D$8/10000,F$8/1000,B12,3)</f>
        <v>上端筋</v>
      </c>
      <c r="G12" s="7" t="str" cm="1">
        <f t="array" ref="G12">flat_slab(B$8,D$8/10000,F$8/1000,B12,2)</f>
        <v>Mg1=L ^ 2 / 10 * (g + p)=</v>
      </c>
      <c r="H12" s="6" cm="1">
        <f t="array" ref="H12">ROUND(flat_slab(B$8,D$8/1000,F$8/1000,B12,1),4)</f>
        <v>30.335999999999999</v>
      </c>
      <c r="M12" t="s">
        <v>10</v>
      </c>
      <c r="N12" s="1" t="str" cm="1">
        <f t="array" ref="N12">flat_slab(M$8,O$8/10000,Q$8/1000,M12,3)</f>
        <v>上端筋</v>
      </c>
      <c r="R12" s="7" t="str" cm="1">
        <f t="array" ref="R12">flat_slab(M$8,O$8/10000,Q$8/1000,M12,2)</f>
        <v>Mg1=L ^ 2 / 10 * (g + p)=</v>
      </c>
      <c r="S12" s="6" cm="1">
        <f t="array" ref="S12">ROUND(flat_slab(M$8,O$8/1000,Q$8/1000,M12,1),4)</f>
        <v>23.225999999999999</v>
      </c>
    </row>
    <row r="13" spans="2:19" x14ac:dyDescent="0.4">
      <c r="B13" t="s">
        <v>8</v>
      </c>
      <c r="C13" s="1" t="str" cm="1">
        <f t="array" ref="C13">flat_slab(B$8,D$8/10000,F$8/1000,B13,3)</f>
        <v>下端筋</v>
      </c>
      <c r="G13" s="7" t="str" cm="1">
        <f t="array" ref="G13">flat_slab(B$8,D$8/10000,F$8/1000,B13,2)</f>
        <v>Mg1=L ^ 2 * (g / 20 + p / 13)=</v>
      </c>
      <c r="H13" s="6" cm="1">
        <f t="array" ref="H13">ROUND(flat_slab(B$8,D$8/1000,F$8/1000,B13,1),4)</f>
        <v>16.417200000000001</v>
      </c>
      <c r="M13" t="s">
        <v>8</v>
      </c>
      <c r="N13" s="1" t="str" cm="1">
        <f t="array" ref="N13">flat_slab(M$8,O$8/10000,Q$8/1000,M13,3)</f>
        <v>下端筋</v>
      </c>
      <c r="R13" s="7" t="str" cm="1">
        <f t="array" ref="R13">flat_slab(M$8,O$8/10000,Q$8/1000,M13,2)</f>
        <v>Mg1=L ^ 2 * (g / 20 + p / 13)=</v>
      </c>
      <c r="S13" s="6" cm="1">
        <f t="array" ref="S13">ROUND(flat_slab(M$8,O$8/1000,Q$8/1000,M13,1),4)</f>
        <v>12.5694</v>
      </c>
    </row>
    <row r="14" spans="2:19" x14ac:dyDescent="0.4">
      <c r="B14" t="s">
        <v>14</v>
      </c>
      <c r="C14" s="1" t="str" cm="1">
        <f t="array" ref="C14">flat_slab(B$8,D$8/10000,F$8/1000,B14,3)</f>
        <v>下端筋</v>
      </c>
      <c r="G14" s="7" t="str" cm="1">
        <f t="array" ref="G14">flat_slab(B$8,D$8/10000,F$8/1000,B14,2)</f>
        <v>Mg1=L ^ 2 * (g / 26 + p / 13)=</v>
      </c>
      <c r="H14" s="6" cm="1">
        <f t="array" ref="H14">ROUND(flat_slab(B$8,D$8/1000,F$8/1000,B14,1),4)</f>
        <v>13.452299999999999</v>
      </c>
      <c r="M14" t="s">
        <v>14</v>
      </c>
      <c r="N14" s="1" t="str" cm="1">
        <f t="array" ref="N14">flat_slab(M$8,O$8/10000,Q$8/1000,M14,3)</f>
        <v>下端筋</v>
      </c>
      <c r="R14" s="7" t="str" cm="1">
        <f t="array" ref="R14">flat_slab(M$8,O$8/10000,Q$8/1000,M14,2)</f>
        <v>Mg1=L ^ 2 * (g / 26 + p / 13)=</v>
      </c>
      <c r="S14" s="6" cm="1">
        <f t="array" ref="S14">ROUND(flat_slab(M$8,O$8/1000,Q$8/1000,M14,1),4)</f>
        <v>10.2994</v>
      </c>
    </row>
    <row r="15" spans="2:19" x14ac:dyDescent="0.4">
      <c r="B15" t="s">
        <v>15</v>
      </c>
      <c r="C15" s="1"/>
      <c r="G15" s="7"/>
      <c r="H15" s="6"/>
      <c r="M15" t="s">
        <v>15</v>
      </c>
      <c r="N15" s="1"/>
      <c r="R15" s="7"/>
      <c r="S15" s="6"/>
    </row>
    <row r="16" spans="2:19" x14ac:dyDescent="0.4">
      <c r="B16" t="s">
        <v>4</v>
      </c>
      <c r="C16" s="1" t="str" cm="1">
        <f t="array" ref="C16">flat_slab(B$8,D$8/10000,F$8/1000,B16,3)</f>
        <v>上端筋</v>
      </c>
      <c r="G16" s="7" t="str" cm="1">
        <f t="array" ref="G16">flat_slab(B$8,D$8/10000,F$8/1000,B16,2)</f>
        <v>Mf1=L ^ 2 / 36 * (g + p)=</v>
      </c>
      <c r="H16" s="6" cm="1">
        <f t="array" ref="H16">ROUND(flat_slab(B$8,D$8/1000,F$8/1000,B16,1),4)</f>
        <v>8.4267000000000003</v>
      </c>
      <c r="M16" t="s">
        <v>4</v>
      </c>
      <c r="N16" s="1" t="str" cm="1">
        <f t="array" ref="N16">flat_slab(M$8,O$8/10000,Q$8/1000,M16,3)</f>
        <v>上端筋</v>
      </c>
      <c r="R16" s="7" t="str" cm="1">
        <f t="array" ref="R16">flat_slab(M$8,O$8/10000,Q$8/1000,M16,2)</f>
        <v>Mf1=L ^ 2 / 36 * (g + p)=</v>
      </c>
      <c r="S16" s="6" cm="1">
        <f t="array" ref="S16">ROUND(flat_slab(M$8,O$8/1000,Q$8/1000,M16,1),4)</f>
        <v>6.4516999999999998</v>
      </c>
    </row>
    <row r="17" spans="2:21" x14ac:dyDescent="0.4">
      <c r="B17" t="s">
        <v>5</v>
      </c>
      <c r="C17" s="1" t="str" cm="1">
        <f t="array" ref="C17">flat_slab(B$8,D$8/10000,F$8/1000,B17,3)</f>
        <v>上端筋</v>
      </c>
      <c r="G17" s="7" t="str" cm="1">
        <f t="array" ref="G17">flat_slab(B$8,D$8/10000,F$8/1000,B17,2)</f>
        <v>Mf1=L ^ 2 / 24 * (g + p)=</v>
      </c>
      <c r="H17" s="6" cm="1">
        <f t="array" ref="H17">ROUND(flat_slab(B$8,D$8/1000,F$8/1000,B17,1),4)</f>
        <v>12.64</v>
      </c>
      <c r="M17" t="s">
        <v>5</v>
      </c>
      <c r="N17" s="1" t="str" cm="1">
        <f t="array" ref="N17">flat_slab(M$8,O$8/10000,Q$8/1000,M17,3)</f>
        <v>上端筋</v>
      </c>
      <c r="R17" s="7" t="str" cm="1">
        <f t="array" ref="R17">flat_slab(M$8,O$8/10000,Q$8/1000,M17,2)</f>
        <v>Mf1=L ^ 2 / 24 * (g + p)=</v>
      </c>
      <c r="S17" s="6" cm="1">
        <f t="array" ref="S17">ROUND(flat_slab(M$8,O$8/1000,Q$8/1000,M17,1),4)</f>
        <v>9.6775000000000002</v>
      </c>
    </row>
    <row r="18" spans="2:21" x14ac:dyDescent="0.4">
      <c r="B18" t="s">
        <v>6</v>
      </c>
      <c r="C18" s="1" t="str" cm="1">
        <f t="array" ref="C18">flat_slab(B$8,D$8/10000,F$8/1000,B18,3)</f>
        <v>上端筋</v>
      </c>
      <c r="G18" s="7" t="str" cm="1">
        <f t="array" ref="G18">flat_slab(B$8,D$8/10000,F$8/1000,B18,2)</f>
        <v>Mf1=L ^ 2 / 30 * (g + p)=</v>
      </c>
      <c r="H18" s="6" cm="1">
        <f t="array" ref="H18">ROUND(flat_slab(B$8,D$8/1000,F$8/1000,B18,1),4)</f>
        <v>10.112</v>
      </c>
      <c r="M18" t="s">
        <v>6</v>
      </c>
      <c r="N18" s="1" t="str" cm="1">
        <f t="array" ref="N18">flat_slab(M$8,O$8/10000,Q$8/1000,M18,3)</f>
        <v>上端筋</v>
      </c>
      <c r="R18" s="7" t="str" cm="1">
        <f t="array" ref="R18">flat_slab(M$8,O$8/10000,Q$8/1000,M18,2)</f>
        <v>Mf1=L ^ 2 / 30 * (g + p)=</v>
      </c>
      <c r="S18" s="6" cm="1">
        <f t="array" ref="S18">ROUND(flat_slab(M$8,O$8/1000,Q$8/1000,M18,1),4)</f>
        <v>7.742</v>
      </c>
    </row>
    <row r="19" spans="2:21" x14ac:dyDescent="0.4">
      <c r="B19" t="s">
        <v>16</v>
      </c>
      <c r="C19" s="1" t="str" cm="1">
        <f t="array" ref="C19">flat_slab(B$8,D$8/10000,F$8/1000,B19,3)</f>
        <v>下端筋</v>
      </c>
      <c r="G19" s="7" t="str" cm="1">
        <f t="array" ref="G19">flat_slab(B$8,D$8/10000,F$8/1000,B19,2)</f>
        <v>Mg1=L ^ 2 * (g / 26 + p / 16)=</v>
      </c>
      <c r="H19" s="6" cm="1">
        <f t="array" ref="H19">ROUND(flat_slab(B$8,D$8/1000,F$8/1000,B19,1),4)</f>
        <v>12.783099999999999</v>
      </c>
      <c r="M19" t="s">
        <v>16</v>
      </c>
      <c r="N19" s="1" t="str" cm="1">
        <f t="array" ref="N19">flat_slab(M$8,O$8/10000,Q$8/1000,M19,3)</f>
        <v>下端筋</v>
      </c>
      <c r="R19" s="7" t="str" cm="1">
        <f t="array" ref="R19">flat_slab(M$8,O$8/10000,Q$8/1000,M19,2)</f>
        <v>Mg1=L ^ 2 * (g / 26 + p / 16)=</v>
      </c>
      <c r="S19" s="6" cm="1">
        <f t="array" ref="S19">ROUND(flat_slab(M$8,O$8/1000,Q$8/1000,M19,1),4)</f>
        <v>9.7870000000000008</v>
      </c>
    </row>
    <row r="20" spans="2:21" x14ac:dyDescent="0.4">
      <c r="B20" t="s">
        <v>17</v>
      </c>
      <c r="C20" s="1" t="str" cm="1">
        <f t="array" ref="C20">flat_slab(B$8,D$8/10000,F$8/1000,B20,3)</f>
        <v>下端筋</v>
      </c>
      <c r="G20" s="7" t="str" cm="1">
        <f t="array" ref="G20">flat_slab(B$8,D$8/10000,F$8/1000,B20,2)</f>
        <v>Mg1=L ^ 2 * (g / 32 + p / 16)=</v>
      </c>
      <c r="H20" s="6" cm="1">
        <f t="array" ref="H20">ROUND(flat_slab(B$8,D$8/1000,F$8/1000,B20,1),4)</f>
        <v>10.93</v>
      </c>
      <c r="M20" t="s">
        <v>17</v>
      </c>
      <c r="N20" s="1" t="str" cm="1">
        <f t="array" ref="N20">flat_slab(M$8,O$8/10000,Q$8/1000,M20,3)</f>
        <v>下端筋</v>
      </c>
      <c r="R20" s="7" t="str" cm="1">
        <f t="array" ref="R20">flat_slab(M$8,O$8/10000,Q$8/1000,M20,2)</f>
        <v>Mg1=L ^ 2 * (g / 32 + p / 16)=</v>
      </c>
      <c r="S20" s="6" cm="1">
        <f t="array" ref="S20">ROUND(flat_slab(M$8,O$8/1000,Q$8/1000,M20,1),4)</f>
        <v>8.3682999999999996</v>
      </c>
    </row>
    <row r="22" spans="2:21" x14ac:dyDescent="0.4">
      <c r="B22" t="s">
        <v>23</v>
      </c>
      <c r="C22" s="4" t="s">
        <v>19</v>
      </c>
      <c r="D22" s="4" t="s">
        <v>20</v>
      </c>
      <c r="E22" s="4" t="s">
        <v>21</v>
      </c>
      <c r="G22" s="4" t="s">
        <v>25</v>
      </c>
      <c r="M22" t="s">
        <v>23</v>
      </c>
      <c r="N22" s="4" t="s">
        <v>19</v>
      </c>
      <c r="O22" s="4" t="s">
        <v>20</v>
      </c>
      <c r="P22" s="4" t="s">
        <v>21</v>
      </c>
      <c r="R22" s="4" t="s">
        <v>25</v>
      </c>
    </row>
    <row r="23" spans="2:21" x14ac:dyDescent="0.4">
      <c r="B23" t="s">
        <v>24</v>
      </c>
      <c r="C23" s="4">
        <f>D4</f>
        <v>250</v>
      </c>
      <c r="D23" s="4">
        <v>30</v>
      </c>
      <c r="E23" s="4">
        <v>50</v>
      </c>
      <c r="G23">
        <v>195</v>
      </c>
      <c r="M23" t="s">
        <v>24</v>
      </c>
      <c r="N23" s="4">
        <f>C23</f>
        <v>250</v>
      </c>
      <c r="O23" s="4">
        <v>30</v>
      </c>
      <c r="P23" s="4">
        <v>50</v>
      </c>
      <c r="R23">
        <v>195</v>
      </c>
    </row>
    <row r="25" spans="2:21" x14ac:dyDescent="0.4">
      <c r="B25" t="s">
        <v>13</v>
      </c>
      <c r="M25" t="s">
        <v>13</v>
      </c>
    </row>
    <row r="26" spans="2:21" x14ac:dyDescent="0.4">
      <c r="C26" t="s">
        <v>22</v>
      </c>
      <c r="N26" t="s">
        <v>22</v>
      </c>
    </row>
    <row r="27" spans="2:21" x14ac:dyDescent="0.4">
      <c r="B27" t="s">
        <v>7</v>
      </c>
      <c r="C27" s="6">
        <f>H10</f>
        <v>25.28</v>
      </c>
      <c r="D27" s="1" t="str">
        <f>C10</f>
        <v>上端筋</v>
      </c>
      <c r="E27" t="s">
        <v>26</v>
      </c>
      <c r="F27" cm="1">
        <f t="array" ref="F27">C$23-D$23-bar_1(E27,4)/2</f>
        <v>211</v>
      </c>
      <c r="G27">
        <f>F27*7/8</f>
        <v>184.625</v>
      </c>
      <c r="H27" s="9">
        <f>C27*1000*1000/(G$23*G27)</f>
        <v>702.18565005294863</v>
      </c>
      <c r="I27" s="9">
        <f>bar_1(J27,1)</f>
        <v>815</v>
      </c>
      <c r="J27" s="9" t="str">
        <f>use_bar(H27,E27,1)</f>
        <v>D13D16@ 200</v>
      </c>
      <c r="M27" t="s">
        <v>7</v>
      </c>
      <c r="N27" s="6">
        <f>S10</f>
        <v>19.355</v>
      </c>
      <c r="O27" s="1" t="str">
        <f>N10</f>
        <v>上端筋</v>
      </c>
      <c r="P27" t="s">
        <v>26</v>
      </c>
      <c r="Q27">
        <f>N$23-O$23-bar_1(P27,4)*1.5</f>
        <v>193</v>
      </c>
      <c r="R27">
        <f>Q27*7/8</f>
        <v>168.875</v>
      </c>
      <c r="S27" s="9">
        <f>N27*1000*1000/(R$23*R27)</f>
        <v>587.75076391656705</v>
      </c>
      <c r="T27" s="8">
        <f>bar_1(U27,1)</f>
        <v>652</v>
      </c>
      <c r="U27" s="9" t="str">
        <f>use_bar(S27,P27,1)</f>
        <v>D13D16@ 250</v>
      </c>
    </row>
    <row r="28" spans="2:21" x14ac:dyDescent="0.4">
      <c r="B28" t="s">
        <v>9</v>
      </c>
      <c r="C28" s="6">
        <f t="shared" ref="C28:C37" si="0">H11</f>
        <v>37.92</v>
      </c>
      <c r="D28" s="1" t="str">
        <f t="shared" ref="D28:D37" si="1">C11</f>
        <v>上端筋</v>
      </c>
      <c r="E28" t="str">
        <f>E27</f>
        <v>D13D16</v>
      </c>
      <c r="F28" cm="1">
        <f t="array" ref="F28">C$23-D$23-bar_1(E28,4)/2</f>
        <v>211</v>
      </c>
      <c r="G28">
        <f t="shared" ref="G28:G37" si="2">F28*7/8</f>
        <v>184.625</v>
      </c>
      <c r="H28" s="9">
        <f t="shared" ref="H28:H37" si="3">C28*1000*1000/(G$23*G28)</f>
        <v>1053.2784750794231</v>
      </c>
      <c r="I28" s="9">
        <f t="shared" ref="I28:I37" si="4">bar_1(J28,1)</f>
        <v>1086.6666666666667</v>
      </c>
      <c r="J28" s="9" t="str">
        <f t="shared" ref="J28:J37" si="5">use_bar(H28,E28,1)</f>
        <v>D13D16@ 150</v>
      </c>
      <c r="M28" t="s">
        <v>9</v>
      </c>
      <c r="N28" s="6">
        <f t="shared" ref="N28:N37" si="6">S11</f>
        <v>29.032499999999999</v>
      </c>
      <c r="O28" s="1" t="str">
        <f t="shared" ref="O28:O37" si="7">N11</f>
        <v>上端筋</v>
      </c>
      <c r="P28" t="str">
        <f>P27</f>
        <v>D13D16</v>
      </c>
      <c r="Q28">
        <f t="shared" ref="Q28:Q29" si="8">N$23-O$23-bar_1(P28,4)*1.5</f>
        <v>193</v>
      </c>
      <c r="R28">
        <f t="shared" ref="R28:R37" si="9">Q28*7/8</f>
        <v>168.875</v>
      </c>
      <c r="S28" s="9">
        <f t="shared" ref="S28:S37" si="10">N28*1000*1000/(R$23*R28)</f>
        <v>881.62614587485052</v>
      </c>
      <c r="T28" s="8">
        <f t="shared" ref="T28:T37" si="11">bar_1(U28,1)</f>
        <v>1086.6666666666667</v>
      </c>
      <c r="U28" s="9" t="str">
        <f t="shared" ref="U28:U37" si="12">use_bar(S28,P28,1)</f>
        <v>D13D16@ 150</v>
      </c>
    </row>
    <row r="29" spans="2:21" x14ac:dyDescent="0.4">
      <c r="B29" t="s">
        <v>10</v>
      </c>
      <c r="C29" s="6">
        <f t="shared" si="0"/>
        <v>30.335999999999999</v>
      </c>
      <c r="D29" s="1" t="str">
        <f t="shared" si="1"/>
        <v>上端筋</v>
      </c>
      <c r="E29" t="str">
        <f t="shared" ref="E29:E31" si="13">E28</f>
        <v>D13D16</v>
      </c>
      <c r="F29" cm="1">
        <f t="array" ref="F29">C$23-D$23-bar_1(E29,4)/2</f>
        <v>211</v>
      </c>
      <c r="G29">
        <f t="shared" si="2"/>
        <v>184.625</v>
      </c>
      <c r="H29" s="9">
        <f t="shared" si="3"/>
        <v>842.62278006353836</v>
      </c>
      <c r="I29" s="9">
        <f t="shared" si="4"/>
        <v>1086.6666666666667</v>
      </c>
      <c r="J29" s="9" t="str">
        <f t="shared" si="5"/>
        <v>D13D16@ 150</v>
      </c>
      <c r="M29" t="s">
        <v>10</v>
      </c>
      <c r="N29" s="6">
        <f t="shared" si="6"/>
        <v>23.225999999999999</v>
      </c>
      <c r="O29" s="1" t="str">
        <f t="shared" si="7"/>
        <v>上端筋</v>
      </c>
      <c r="P29" t="str">
        <f t="shared" ref="P29" si="14">P28</f>
        <v>D13D16</v>
      </c>
      <c r="Q29">
        <f t="shared" si="8"/>
        <v>193</v>
      </c>
      <c r="R29">
        <f t="shared" si="9"/>
        <v>168.875</v>
      </c>
      <c r="S29" s="9">
        <f t="shared" si="10"/>
        <v>705.30091669988042</v>
      </c>
      <c r="T29" s="8">
        <f t="shared" si="11"/>
        <v>815</v>
      </c>
      <c r="U29" s="9" t="str">
        <f t="shared" si="12"/>
        <v>D13D16@ 200</v>
      </c>
    </row>
    <row r="30" spans="2:21" x14ac:dyDescent="0.4">
      <c r="B30" t="s">
        <v>8</v>
      </c>
      <c r="C30" s="6">
        <f t="shared" si="0"/>
        <v>16.417200000000001</v>
      </c>
      <c r="D30" s="1" t="str">
        <f t="shared" si="1"/>
        <v>下端筋</v>
      </c>
      <c r="E30" t="s">
        <v>18</v>
      </c>
      <c r="F30" cm="1">
        <f t="array" ref="F30">C$23-E$23-bar_1(E30,4)/2</f>
        <v>193</v>
      </c>
      <c r="G30">
        <f t="shared" si="2"/>
        <v>168.875</v>
      </c>
      <c r="H30" s="9">
        <f t="shared" si="3"/>
        <v>498.53897397938852</v>
      </c>
      <c r="I30" s="9">
        <f t="shared" si="4"/>
        <v>508</v>
      </c>
      <c r="J30" s="9" t="str">
        <f t="shared" si="5"/>
        <v>D13@ 250</v>
      </c>
      <c r="M30" t="s">
        <v>8</v>
      </c>
      <c r="N30" s="6">
        <f t="shared" si="6"/>
        <v>12.5694</v>
      </c>
      <c r="O30" s="1" t="str">
        <f t="shared" si="7"/>
        <v>下端筋</v>
      </c>
      <c r="P30" t="s">
        <v>18</v>
      </c>
      <c r="Q30">
        <f>N$23-P$23-bar_1(P30,4)*1.5</f>
        <v>179</v>
      </c>
      <c r="R30">
        <f t="shared" si="9"/>
        <v>156.625</v>
      </c>
      <c r="S30" s="9">
        <f t="shared" si="10"/>
        <v>411.5464423844312</v>
      </c>
      <c r="T30" s="8">
        <f t="shared" si="11"/>
        <v>423.33333333333337</v>
      </c>
      <c r="U30" s="9" t="str">
        <f t="shared" si="12"/>
        <v>D13@ 300</v>
      </c>
    </row>
    <row r="31" spans="2:21" x14ac:dyDescent="0.4">
      <c r="B31" t="s">
        <v>14</v>
      </c>
      <c r="C31" s="6">
        <f t="shared" si="0"/>
        <v>13.452299999999999</v>
      </c>
      <c r="D31" s="1" t="str">
        <f t="shared" si="1"/>
        <v>下端筋</v>
      </c>
      <c r="E31" t="str">
        <f t="shared" si="13"/>
        <v>D13</v>
      </c>
      <c r="F31" cm="1">
        <f t="array" ref="F31">C$23-E$23-bar_1(E31,4)/2</f>
        <v>193</v>
      </c>
      <c r="G31">
        <f t="shared" si="2"/>
        <v>168.875</v>
      </c>
      <c r="H31" s="9">
        <f t="shared" si="3"/>
        <v>408.50424187211752</v>
      </c>
      <c r="I31" s="9">
        <f t="shared" si="4"/>
        <v>423.33333333333337</v>
      </c>
      <c r="J31" s="9" t="str">
        <f t="shared" si="5"/>
        <v>D13@ 300</v>
      </c>
      <c r="M31" t="s">
        <v>14</v>
      </c>
      <c r="N31" s="6">
        <f t="shared" si="6"/>
        <v>10.2994</v>
      </c>
      <c r="O31" s="1" t="str">
        <f t="shared" si="7"/>
        <v>下端筋</v>
      </c>
      <c r="P31" t="str">
        <f t="shared" ref="P31" si="15">P30</f>
        <v>D13</v>
      </c>
      <c r="Q31">
        <f>N$23-P$23-bar_1(P31,4)*1.5</f>
        <v>179</v>
      </c>
      <c r="R31">
        <f t="shared" si="9"/>
        <v>156.625</v>
      </c>
      <c r="S31" s="9">
        <f t="shared" si="10"/>
        <v>337.22225632840156</v>
      </c>
      <c r="T31" s="8">
        <f t="shared" si="11"/>
        <v>423.33333333333337</v>
      </c>
      <c r="U31" s="9" t="str">
        <f t="shared" si="12"/>
        <v>D13@ 300</v>
      </c>
    </row>
    <row r="32" spans="2:21" x14ac:dyDescent="0.4">
      <c r="B32" t="s">
        <v>15</v>
      </c>
      <c r="C32" s="6"/>
      <c r="D32" s="1"/>
      <c r="H32" s="9"/>
      <c r="I32" s="9"/>
      <c r="J32" s="9"/>
      <c r="M32" t="s">
        <v>15</v>
      </c>
      <c r="N32" s="6"/>
      <c r="O32" s="1"/>
      <c r="S32" s="9"/>
      <c r="T32" s="8"/>
      <c r="U32" s="9"/>
    </row>
    <row r="33" spans="2:21" x14ac:dyDescent="0.4">
      <c r="B33" t="s">
        <v>4</v>
      </c>
      <c r="C33" s="6">
        <f t="shared" si="0"/>
        <v>8.4267000000000003</v>
      </c>
      <c r="D33" s="1" t="str">
        <f t="shared" si="1"/>
        <v>上端筋</v>
      </c>
      <c r="E33" t="s">
        <v>18</v>
      </c>
      <c r="F33" cm="1">
        <f t="array" ref="F33">C$23-D$23-bar_1(E33,4)/2</f>
        <v>213</v>
      </c>
      <c r="G33">
        <f t="shared" si="2"/>
        <v>186.375</v>
      </c>
      <c r="H33" s="9">
        <f t="shared" si="3"/>
        <v>231.86503637207863</v>
      </c>
      <c r="I33" s="9">
        <f t="shared" si="4"/>
        <v>423.33333333333337</v>
      </c>
      <c r="J33" s="9" t="str">
        <f t="shared" si="5"/>
        <v>D13@ 300</v>
      </c>
      <c r="M33" t="s">
        <v>4</v>
      </c>
      <c r="N33" s="6">
        <f t="shared" ref="N33:N37" si="16">S16</f>
        <v>6.4516999999999998</v>
      </c>
      <c r="O33" s="1" t="str">
        <f t="shared" ref="O33:O37" si="17">N16</f>
        <v>上端筋</v>
      </c>
      <c r="P33" t="s">
        <v>18</v>
      </c>
      <c r="Q33">
        <f>N$23-O$23-bar_1(P33,4)*1.5</f>
        <v>199</v>
      </c>
      <c r="R33">
        <f t="shared" ref="R33:R37" si="18">Q33*7/8</f>
        <v>174.125</v>
      </c>
      <c r="S33" s="9">
        <f t="shared" ref="S33:S37" si="19">N33*1000*1000/(R$23*R33)</f>
        <v>190.01086016161392</v>
      </c>
      <c r="T33" s="8">
        <f t="shared" si="11"/>
        <v>423.33333333333337</v>
      </c>
      <c r="U33" s="9" t="str">
        <f t="shared" si="12"/>
        <v>D13@ 300</v>
      </c>
    </row>
    <row r="34" spans="2:21" x14ac:dyDescent="0.4">
      <c r="B34" t="s">
        <v>5</v>
      </c>
      <c r="C34" s="6">
        <f t="shared" si="0"/>
        <v>12.64</v>
      </c>
      <c r="D34" s="1" t="str">
        <f t="shared" si="1"/>
        <v>上端筋</v>
      </c>
      <c r="E34" t="str">
        <f t="shared" ref="E34:E37" si="20">E33</f>
        <v>D13</v>
      </c>
      <c r="F34" cm="1">
        <f t="array" ref="F34">C$23-D$23-bar_1(E34,4)/2</f>
        <v>213</v>
      </c>
      <c r="G34">
        <f t="shared" si="2"/>
        <v>186.375</v>
      </c>
      <c r="H34" s="9">
        <f t="shared" si="3"/>
        <v>347.79617878209427</v>
      </c>
      <c r="I34" s="9">
        <f t="shared" si="4"/>
        <v>423.33333333333337</v>
      </c>
      <c r="J34" s="9" t="str">
        <f t="shared" si="5"/>
        <v>D13@ 300</v>
      </c>
      <c r="M34" t="s">
        <v>5</v>
      </c>
      <c r="N34" s="6">
        <f t="shared" si="16"/>
        <v>9.6775000000000002</v>
      </c>
      <c r="O34" s="1" t="str">
        <f t="shared" si="17"/>
        <v>上端筋</v>
      </c>
      <c r="P34" t="str">
        <f t="shared" ref="P34:P37" si="21">P33</f>
        <v>D13</v>
      </c>
      <c r="Q34">
        <f t="shared" ref="Q34:Q35" si="22">N$23-O$23-bar_1(P34,4)*1.5</f>
        <v>199</v>
      </c>
      <c r="R34">
        <f t="shared" si="18"/>
        <v>174.125</v>
      </c>
      <c r="S34" s="9">
        <f t="shared" si="19"/>
        <v>285.01481767813425</v>
      </c>
      <c r="T34" s="8">
        <f t="shared" si="11"/>
        <v>423.33333333333337</v>
      </c>
      <c r="U34" s="9" t="str">
        <f t="shared" si="12"/>
        <v>D13@ 300</v>
      </c>
    </row>
    <row r="35" spans="2:21" x14ac:dyDescent="0.4">
      <c r="B35" t="s">
        <v>6</v>
      </c>
      <c r="C35" s="6">
        <f t="shared" si="0"/>
        <v>10.112</v>
      </c>
      <c r="D35" s="1" t="str">
        <f t="shared" si="1"/>
        <v>上端筋</v>
      </c>
      <c r="E35" t="str">
        <f t="shared" si="20"/>
        <v>D13</v>
      </c>
      <c r="F35" cm="1">
        <f t="array" ref="F35">C$23-D$23-bar_1(E35,4)/2</f>
        <v>213</v>
      </c>
      <c r="G35">
        <f t="shared" si="2"/>
        <v>186.375</v>
      </c>
      <c r="H35" s="9">
        <f t="shared" si="3"/>
        <v>278.23694302567543</v>
      </c>
      <c r="I35" s="9">
        <f t="shared" si="4"/>
        <v>423.33333333333337</v>
      </c>
      <c r="J35" s="9" t="str">
        <f t="shared" si="5"/>
        <v>D13@ 300</v>
      </c>
      <c r="M35" t="s">
        <v>6</v>
      </c>
      <c r="N35" s="6">
        <f t="shared" si="16"/>
        <v>7.742</v>
      </c>
      <c r="O35" s="1" t="str">
        <f t="shared" si="17"/>
        <v>上端筋</v>
      </c>
      <c r="P35" t="str">
        <f t="shared" si="21"/>
        <v>D13</v>
      </c>
      <c r="Q35">
        <f t="shared" si="22"/>
        <v>199</v>
      </c>
      <c r="R35">
        <f t="shared" si="18"/>
        <v>174.125</v>
      </c>
      <c r="S35" s="9">
        <f t="shared" si="19"/>
        <v>228.01185414250742</v>
      </c>
      <c r="T35" s="8">
        <f t="shared" si="11"/>
        <v>423.33333333333337</v>
      </c>
      <c r="U35" s="9" t="str">
        <f t="shared" si="12"/>
        <v>D13@ 300</v>
      </c>
    </row>
    <row r="36" spans="2:21" x14ac:dyDescent="0.4">
      <c r="B36" t="s">
        <v>16</v>
      </c>
      <c r="C36" s="6">
        <f t="shared" si="0"/>
        <v>12.783099999999999</v>
      </c>
      <c r="D36" s="1" t="str">
        <f t="shared" si="1"/>
        <v>下端筋</v>
      </c>
      <c r="E36" t="str">
        <f t="shared" si="20"/>
        <v>D13</v>
      </c>
      <c r="F36" cm="1">
        <f t="array" ref="F36">C$23-E$23-bar_1(E36,4)/2</f>
        <v>193</v>
      </c>
      <c r="G36">
        <f t="shared" si="2"/>
        <v>168.875</v>
      </c>
      <c r="H36" s="9">
        <f t="shared" si="3"/>
        <v>388.18273263869111</v>
      </c>
      <c r="I36" s="9">
        <f t="shared" si="4"/>
        <v>423.33333333333337</v>
      </c>
      <c r="J36" s="9" t="str">
        <f t="shared" si="5"/>
        <v>D13@ 300</v>
      </c>
      <c r="M36" t="s">
        <v>16</v>
      </c>
      <c r="N36" s="6">
        <f t="shared" si="16"/>
        <v>9.7870000000000008</v>
      </c>
      <c r="O36" s="1" t="str">
        <f t="shared" si="17"/>
        <v>下端筋</v>
      </c>
      <c r="P36" t="str">
        <f t="shared" si="21"/>
        <v>D13</v>
      </c>
      <c r="Q36">
        <f>N$23-P$23-bar_1(P36,4)*1.5</f>
        <v>179</v>
      </c>
      <c r="R36">
        <f t="shared" si="18"/>
        <v>156.625</v>
      </c>
      <c r="S36" s="9">
        <f t="shared" si="19"/>
        <v>320.44529027769249</v>
      </c>
      <c r="T36" s="8">
        <f t="shared" si="11"/>
        <v>423.33333333333337</v>
      </c>
      <c r="U36" s="9" t="str">
        <f t="shared" si="12"/>
        <v>D13@ 300</v>
      </c>
    </row>
    <row r="37" spans="2:21" x14ac:dyDescent="0.4">
      <c r="B37" t="s">
        <v>17</v>
      </c>
      <c r="C37" s="6">
        <f t="shared" si="0"/>
        <v>10.93</v>
      </c>
      <c r="D37" s="1" t="str">
        <f t="shared" si="1"/>
        <v>下端筋</v>
      </c>
      <c r="E37" t="str">
        <f t="shared" si="20"/>
        <v>D13</v>
      </c>
      <c r="F37" cm="1">
        <f t="array" ref="F37">C$23-E$23-bar_1(E37,4)/2</f>
        <v>193</v>
      </c>
      <c r="G37">
        <f t="shared" si="2"/>
        <v>168.875</v>
      </c>
      <c r="H37" s="9">
        <f t="shared" si="3"/>
        <v>331.90988631403138</v>
      </c>
      <c r="I37" s="9">
        <f t="shared" si="4"/>
        <v>423.33333333333337</v>
      </c>
      <c r="J37" s="9" t="str">
        <f t="shared" si="5"/>
        <v>D13@ 300</v>
      </c>
      <c r="M37" t="s">
        <v>17</v>
      </c>
      <c r="N37" s="6">
        <f t="shared" si="16"/>
        <v>8.3682999999999996</v>
      </c>
      <c r="O37" s="1" t="str">
        <f t="shared" si="17"/>
        <v>下端筋</v>
      </c>
      <c r="P37" t="str">
        <f t="shared" si="21"/>
        <v>D13</v>
      </c>
      <c r="Q37">
        <f>N$23-P$23-bar_1(P37,4)*1.5</f>
        <v>179</v>
      </c>
      <c r="R37">
        <f t="shared" si="18"/>
        <v>156.625</v>
      </c>
      <c r="S37" s="9">
        <f t="shared" si="19"/>
        <v>273.99431108928314</v>
      </c>
      <c r="T37" s="8">
        <f t="shared" si="11"/>
        <v>423.33333333333337</v>
      </c>
      <c r="U37" s="9" t="str">
        <f t="shared" si="12"/>
        <v>D13@ 300</v>
      </c>
    </row>
    <row r="40" spans="2:21" x14ac:dyDescent="0.4">
      <c r="B40" s="13" t="s">
        <v>29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 t="s">
        <v>30</v>
      </c>
      <c r="N40" s="13"/>
      <c r="O40" s="13"/>
      <c r="P40" s="13"/>
      <c r="Q40" s="13"/>
      <c r="R40" s="13"/>
      <c r="S40" s="13"/>
      <c r="T40" s="13"/>
      <c r="U40" s="13"/>
    </row>
    <row r="41" spans="2:21" x14ac:dyDescent="0.4">
      <c r="B41" s="14" t="s">
        <v>1</v>
      </c>
      <c r="C41" s="14"/>
      <c r="D41" s="14" t="s">
        <v>11</v>
      </c>
      <c r="E41" s="14"/>
      <c r="F41" s="14" t="s">
        <v>12</v>
      </c>
      <c r="G41" s="14"/>
      <c r="H41" s="13"/>
      <c r="I41" s="13"/>
      <c r="J41" s="13"/>
      <c r="K41" s="13"/>
      <c r="L41" s="13"/>
      <c r="M41" s="14" t="s">
        <v>1</v>
      </c>
      <c r="N41" s="14"/>
      <c r="O41" s="14" t="s">
        <v>11</v>
      </c>
      <c r="P41" s="14"/>
      <c r="Q41" s="14" t="s">
        <v>12</v>
      </c>
      <c r="R41" s="14"/>
      <c r="S41" s="13"/>
      <c r="T41" s="13"/>
      <c r="U41" s="13"/>
    </row>
    <row r="42" spans="2:21" x14ac:dyDescent="0.4">
      <c r="B42" s="15">
        <v>4</v>
      </c>
      <c r="C42" s="15"/>
      <c r="D42" s="15">
        <f>+D8</f>
        <v>16060</v>
      </c>
      <c r="E42" s="15"/>
      <c r="F42" s="15">
        <v>2900</v>
      </c>
      <c r="G42" s="15"/>
      <c r="H42" s="13"/>
      <c r="I42" s="13"/>
      <c r="J42" s="13"/>
      <c r="K42" s="13"/>
      <c r="L42" s="13"/>
      <c r="M42" s="15">
        <f>+M8</f>
        <v>3.5</v>
      </c>
      <c r="N42" s="15"/>
      <c r="O42" s="15">
        <f>+O8</f>
        <v>16060</v>
      </c>
      <c r="P42" s="15"/>
      <c r="Q42" s="15">
        <v>2900</v>
      </c>
      <c r="R42" s="15"/>
      <c r="S42" s="13"/>
      <c r="T42" s="13"/>
      <c r="U42" s="13"/>
    </row>
    <row r="43" spans="2:21" x14ac:dyDescent="0.4">
      <c r="B43" s="13" t="s">
        <v>13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 t="s">
        <v>13</v>
      </c>
      <c r="N43" s="13"/>
      <c r="O43" s="13"/>
      <c r="P43" s="13"/>
      <c r="Q43" s="13"/>
      <c r="R43" s="13"/>
      <c r="S43" s="13"/>
      <c r="T43" s="13"/>
      <c r="U43" s="13"/>
    </row>
    <row r="44" spans="2:21" x14ac:dyDescent="0.4">
      <c r="B44" s="13" t="s">
        <v>60</v>
      </c>
      <c r="C44" s="16" t="str">
        <f>flat_slab_side(B$8,D$8/10000,F$8/1000,B44,3)</f>
        <v>上端筋</v>
      </c>
      <c r="D44" s="13"/>
      <c r="E44" s="13"/>
      <c r="F44" s="13"/>
      <c r="G44" s="17" t="str">
        <f>flat_slab_side(B$8,D$8/10000,F$8/1000,B44,2)</f>
        <v>Mg1=L ^ 2 / 12 * (g + p) / 2=</v>
      </c>
      <c r="H44" s="18">
        <f>ROUND(flat_slab_side(B$8,D$8/1000,F$8/1000,B44,1),4)</f>
        <v>12.64</v>
      </c>
      <c r="I44" s="13">
        <f>J44/2-H44</f>
        <v>0</v>
      </c>
      <c r="J44" s="18">
        <f t="shared" ref="J44:J49" si="23">+H10</f>
        <v>25.28</v>
      </c>
      <c r="K44" s="13"/>
      <c r="L44" s="13"/>
      <c r="M44" s="13" t="str">
        <f>B44</f>
        <v>Mg1'</v>
      </c>
      <c r="N44" s="16" t="str">
        <f>flat_slab_side(M$8,O$8/10000,Q$8/1000,M44,3)</f>
        <v>上端筋</v>
      </c>
      <c r="O44" s="13"/>
      <c r="P44" s="13"/>
      <c r="Q44" s="13"/>
      <c r="R44" s="17" t="str">
        <f>flat_slab_side(M$8,O$8/10000,Q$8/1000,M44,2)</f>
        <v>Mg1=L ^ 2 / 12 * (g + p) / 2=</v>
      </c>
      <c r="S44" s="18">
        <f>ROUND(flat_slab_side(M$8,O$8/1000,Q$8/1000,M44,1),4)</f>
        <v>9.6775000000000002</v>
      </c>
      <c r="T44" s="13">
        <f>+U44/2-S44</f>
        <v>0</v>
      </c>
      <c r="U44" s="18">
        <f>S10</f>
        <v>19.355</v>
      </c>
    </row>
    <row r="45" spans="2:21" x14ac:dyDescent="0.4">
      <c r="B45" s="13" t="s">
        <v>61</v>
      </c>
      <c r="C45" s="16" t="str">
        <f t="shared" ref="C45:C48" si="24">flat_slab_side(B$8,D$8/10000,F$8/1000,B45,3)</f>
        <v>上端筋</v>
      </c>
      <c r="D45" s="13"/>
      <c r="E45" s="13"/>
      <c r="F45" s="13"/>
      <c r="G45" s="17" t="str">
        <f t="shared" ref="G45:G48" si="25">flat_slab_side(B$8,D$8/10000,F$8/1000,B45,2)</f>
        <v>Mg3'=L ^ 2 / 8 * (g + p) /2=</v>
      </c>
      <c r="H45" s="18">
        <f>ROUND(flat_slab_side(B$8,D$8/1000,F$8/1000,B45,1),4)</f>
        <v>18.96</v>
      </c>
      <c r="I45" s="13">
        <f t="shared" ref="I45:I48" si="26">J45/2-H45</f>
        <v>0</v>
      </c>
      <c r="J45" s="18">
        <f t="shared" si="23"/>
        <v>37.92</v>
      </c>
      <c r="K45" s="13"/>
      <c r="L45" s="13"/>
      <c r="M45" s="13" t="str">
        <f t="shared" ref="M45:M54" si="27">B45</f>
        <v>Mg3'</v>
      </c>
      <c r="N45" s="16" t="str">
        <f t="shared" ref="N45:N54" si="28">flat_slab_side(M$8,O$8/10000,Q$8/1000,M45,3)</f>
        <v>上端筋</v>
      </c>
      <c r="O45" s="13"/>
      <c r="P45" s="13"/>
      <c r="Q45" s="13"/>
      <c r="R45" s="17" t="str">
        <f t="shared" ref="R45:R54" si="29">flat_slab_side(M$8,O$8/10000,Q$8/1000,M45,2)</f>
        <v>Mg3'=L ^ 2 / 8 * (g + p) /2=</v>
      </c>
      <c r="S45" s="18">
        <f t="shared" ref="S45:S54" si="30">ROUND(flat_slab_side(M$8,O$8/1000,Q$8/1000,M45,1),4)</f>
        <v>14.516299999999999</v>
      </c>
      <c r="T45" s="13">
        <f t="shared" ref="T45:T54" si="31">+U45/2-S45</f>
        <v>-4.9999999999883471E-5</v>
      </c>
      <c r="U45" s="18">
        <f t="shared" ref="U45:U54" si="32">S11</f>
        <v>29.032499999999999</v>
      </c>
    </row>
    <row r="46" spans="2:21" x14ac:dyDescent="0.4">
      <c r="B46" s="13" t="s">
        <v>62</v>
      </c>
      <c r="C46" s="16" t="str">
        <f t="shared" si="24"/>
        <v>上端筋</v>
      </c>
      <c r="D46" s="13"/>
      <c r="E46" s="13"/>
      <c r="F46" s="13"/>
      <c r="G46" s="17" t="str">
        <f>flat_slab_side(B$8,D$8/10000,F$8/1000,B46,2)</f>
        <v>Mg5'=L ^ 2 / 10 * (g + p) /2=</v>
      </c>
      <c r="H46" s="18">
        <f>ROUND(flat_slab_side(B$8,D$8/1000,F$8/1000,B46,1),4)</f>
        <v>15.167999999999999</v>
      </c>
      <c r="I46" s="13">
        <f t="shared" si="26"/>
        <v>0</v>
      </c>
      <c r="J46" s="18">
        <f t="shared" si="23"/>
        <v>30.335999999999999</v>
      </c>
      <c r="K46" s="13"/>
      <c r="L46" s="13"/>
      <c r="M46" s="13" t="str">
        <f t="shared" si="27"/>
        <v>Mg5'</v>
      </c>
      <c r="N46" s="16" t="str">
        <f t="shared" si="28"/>
        <v>上端筋</v>
      </c>
      <c r="O46" s="13"/>
      <c r="P46" s="13"/>
      <c r="Q46" s="13"/>
      <c r="R46" s="17" t="str">
        <f t="shared" si="29"/>
        <v>Mg5'=L ^ 2 / 10 * (g + p) /2=</v>
      </c>
      <c r="S46" s="18">
        <f t="shared" si="30"/>
        <v>11.613</v>
      </c>
      <c r="T46" s="13">
        <f t="shared" si="31"/>
        <v>0</v>
      </c>
      <c r="U46" s="18">
        <f t="shared" si="32"/>
        <v>23.225999999999999</v>
      </c>
    </row>
    <row r="47" spans="2:21" x14ac:dyDescent="0.4">
      <c r="B47" s="13" t="s">
        <v>63</v>
      </c>
      <c r="C47" s="16" t="str">
        <f t="shared" si="24"/>
        <v>下端筋</v>
      </c>
      <c r="D47" s="13"/>
      <c r="E47" s="13"/>
      <c r="F47" s="13"/>
      <c r="G47" s="17" t="str">
        <f>flat_slab_side(B$8,D$8/10000,F$8/1000,B47,2)</f>
        <v>Mg2'=L ^ 2 * (g / 20 + p / 13) /2=</v>
      </c>
      <c r="H47" s="18">
        <f>ROUND(flat_slab_side(B$8,D$8/1000,F$8/1000,B47,1),4)</f>
        <v>8.2086000000000006</v>
      </c>
      <c r="I47" s="13">
        <f>J47/2-H47</f>
        <v>0</v>
      </c>
      <c r="J47" s="18">
        <f>+H13</f>
        <v>16.417200000000001</v>
      </c>
      <c r="K47" s="13"/>
      <c r="L47" s="13"/>
      <c r="M47" s="13" t="str">
        <f t="shared" si="27"/>
        <v>Mg2'</v>
      </c>
      <c r="N47" s="16" t="str">
        <f t="shared" si="28"/>
        <v>下端筋</v>
      </c>
      <c r="O47" s="13"/>
      <c r="P47" s="13"/>
      <c r="Q47" s="13"/>
      <c r="R47" s="17" t="str">
        <f t="shared" si="29"/>
        <v>Mg2'=L ^ 2 * (g / 20 + p / 13) /2=</v>
      </c>
      <c r="S47" s="18">
        <f t="shared" si="30"/>
        <v>6.2847</v>
      </c>
      <c r="T47" s="13">
        <f t="shared" si="31"/>
        <v>0</v>
      </c>
      <c r="U47" s="18">
        <f t="shared" si="32"/>
        <v>12.5694</v>
      </c>
    </row>
    <row r="48" spans="2:21" x14ac:dyDescent="0.4">
      <c r="B48" s="13" t="s">
        <v>64</v>
      </c>
      <c r="C48" s="16" t="str">
        <f t="shared" si="24"/>
        <v>下端筋</v>
      </c>
      <c r="D48" s="13"/>
      <c r="E48" s="13"/>
      <c r="F48" s="13"/>
      <c r="G48" s="17" t="str">
        <f>flat_slab_side(B$8,D$8/10000,F$8/1000,B48,2)</f>
        <v>Mg4'=L ^ 2 * (g / 26 + p / 13) /2=</v>
      </c>
      <c r="H48" s="18">
        <f>ROUND(flat_slab_side(B$8,D$8/1000,F$8/1000,B48,1),4)</f>
        <v>6.7262000000000004</v>
      </c>
      <c r="I48" s="13">
        <f t="shared" si="26"/>
        <v>-5.0000000000771649E-5</v>
      </c>
      <c r="J48" s="18">
        <f t="shared" si="23"/>
        <v>13.452299999999999</v>
      </c>
      <c r="K48" s="13"/>
      <c r="L48" s="13"/>
      <c r="M48" s="13" t="str">
        <f t="shared" si="27"/>
        <v>Mg4'</v>
      </c>
      <c r="N48" s="16" t="str">
        <f t="shared" si="28"/>
        <v>下端筋</v>
      </c>
      <c r="O48" s="13"/>
      <c r="P48" s="13"/>
      <c r="Q48" s="13"/>
      <c r="R48" s="17" t="str">
        <f t="shared" si="29"/>
        <v>Mg4'=L ^ 2 * (g / 26 + p / 13) /2=</v>
      </c>
      <c r="S48" s="18">
        <f t="shared" si="30"/>
        <v>5.1497000000000002</v>
      </c>
      <c r="T48" s="13">
        <f t="shared" si="31"/>
        <v>0</v>
      </c>
      <c r="U48" s="18">
        <f t="shared" si="32"/>
        <v>10.2994</v>
      </c>
    </row>
    <row r="49" spans="2:21" x14ac:dyDescent="0.4">
      <c r="B49" s="13" t="s">
        <v>15</v>
      </c>
      <c r="C49" s="16"/>
      <c r="D49" s="13"/>
      <c r="E49" s="13"/>
      <c r="F49" s="13"/>
      <c r="G49" s="17"/>
      <c r="H49" s="18"/>
      <c r="I49" s="13"/>
      <c r="J49" s="18">
        <f t="shared" si="23"/>
        <v>0</v>
      </c>
      <c r="K49" s="13"/>
      <c r="L49" s="13"/>
      <c r="M49" s="13" t="str">
        <f t="shared" si="27"/>
        <v>柱間帯</v>
      </c>
      <c r="N49" s="16"/>
      <c r="O49" s="13"/>
      <c r="P49" s="13"/>
      <c r="Q49" s="13"/>
      <c r="R49" s="17"/>
      <c r="S49" s="18"/>
      <c r="T49" s="13"/>
      <c r="U49" s="18"/>
    </row>
    <row r="50" spans="2:21" x14ac:dyDescent="0.4">
      <c r="B50" s="13" t="s">
        <v>55</v>
      </c>
      <c r="C50" s="16" t="str">
        <f>flat_slab_side(B$8,D$8/10000,F$8/1000,B50,3)</f>
        <v>上端筋</v>
      </c>
      <c r="D50" s="13"/>
      <c r="E50" s="13"/>
      <c r="F50" s="13"/>
      <c r="G50" s="17" t="str">
        <f>flat_slab_side(B$8,D$8/10000,F$8/1000,B50,2)</f>
        <v>Mf1'=L ^ 2 / 36 * (g + p) * 3/4=</v>
      </c>
      <c r="H50" s="18">
        <f>ROUND(flat_slab_side(B$8,D$8/1000,F$8/1000,B50,1),4)</f>
        <v>6.32</v>
      </c>
      <c r="I50" s="13">
        <f>J50*3/4-H50</f>
        <v>2.4999999999941735E-5</v>
      </c>
      <c r="J50" s="18">
        <f>+H16</f>
        <v>8.4267000000000003</v>
      </c>
      <c r="K50" s="13"/>
      <c r="L50" s="13"/>
      <c r="M50" s="13" t="str">
        <f t="shared" si="27"/>
        <v>Mf1'</v>
      </c>
      <c r="N50" s="16" t="str">
        <f t="shared" si="28"/>
        <v>上端筋</v>
      </c>
      <c r="O50" s="13"/>
      <c r="P50" s="13"/>
      <c r="Q50" s="13"/>
      <c r="R50" s="17" t="str">
        <f t="shared" si="29"/>
        <v>Mf1'=L ^ 2 / 36 * (g + p) * 3/4=</v>
      </c>
      <c r="S50" s="18">
        <f t="shared" si="30"/>
        <v>4.8388</v>
      </c>
      <c r="T50" s="13">
        <f>+U50*3/4-S50</f>
        <v>-2.4999999999941735E-5</v>
      </c>
      <c r="U50" s="18">
        <f t="shared" si="32"/>
        <v>6.4516999999999998</v>
      </c>
    </row>
    <row r="51" spans="2:21" x14ac:dyDescent="0.4">
      <c r="B51" s="13" t="s">
        <v>56</v>
      </c>
      <c r="C51" s="16" t="str">
        <f t="shared" ref="C51:C54" si="33">flat_slab_side(B$8,D$8/10000,F$8/1000,B51,3)</f>
        <v>上端筋</v>
      </c>
      <c r="D51" s="13"/>
      <c r="E51" s="13"/>
      <c r="F51" s="13"/>
      <c r="G51" s="17" t="str">
        <f>flat_slab_side(B$8,D$8/10000,F$8/1000,B51,2)</f>
        <v>Mf3'= L ^ 2 / 24 * (g + p) * 3/4=</v>
      </c>
      <c r="H51" s="18">
        <f t="shared" ref="H51:H54" si="34">ROUND(flat_slab_side(B$8,D$8/1000,F$8/1000,B51,1),4)</f>
        <v>9.48</v>
      </c>
      <c r="I51" s="13">
        <f t="shared" ref="I51:I54" si="35">J51*3/4-H51</f>
        <v>0</v>
      </c>
      <c r="J51" s="18">
        <f t="shared" ref="J51:J54" si="36">+H17</f>
        <v>12.64</v>
      </c>
      <c r="K51" s="13"/>
      <c r="L51" s="13"/>
      <c r="M51" s="13" t="str">
        <f t="shared" si="27"/>
        <v>Mf3'</v>
      </c>
      <c r="N51" s="16" t="str">
        <f t="shared" si="28"/>
        <v>上端筋</v>
      </c>
      <c r="O51" s="13"/>
      <c r="P51" s="13"/>
      <c r="Q51" s="13"/>
      <c r="R51" s="17" t="str">
        <f t="shared" si="29"/>
        <v>Mf3'= L ^ 2 / 24 * (g + p) * 3/4=</v>
      </c>
      <c r="S51" s="18">
        <f t="shared" si="30"/>
        <v>7.2580999999999998</v>
      </c>
      <c r="T51" s="13">
        <f t="shared" ref="T51:T54" si="37">+U51*3/4-S51</f>
        <v>2.4999999999941735E-5</v>
      </c>
      <c r="U51" s="18">
        <f t="shared" si="32"/>
        <v>9.6775000000000002</v>
      </c>
    </row>
    <row r="52" spans="2:21" x14ac:dyDescent="0.4">
      <c r="B52" s="13" t="s">
        <v>57</v>
      </c>
      <c r="C52" s="16" t="str">
        <f t="shared" si="33"/>
        <v>上端筋</v>
      </c>
      <c r="D52" s="13"/>
      <c r="E52" s="13"/>
      <c r="F52" s="13"/>
      <c r="G52" s="17" t="str">
        <f>flat_slab_side(B$8,D$8/10000,F$8/1000,B52,2)</f>
        <v>Mf5'= L ^ 2 / 30 * (g + p) * 3/4=</v>
      </c>
      <c r="H52" s="18">
        <f t="shared" si="34"/>
        <v>7.5839999999999996</v>
      </c>
      <c r="I52" s="13">
        <f t="shared" si="35"/>
        <v>0</v>
      </c>
      <c r="J52" s="18">
        <f t="shared" si="36"/>
        <v>10.112</v>
      </c>
      <c r="K52" s="13"/>
      <c r="L52" s="13"/>
      <c r="M52" s="13" t="str">
        <f t="shared" si="27"/>
        <v>Mf5'</v>
      </c>
      <c r="N52" s="16" t="str">
        <f t="shared" si="28"/>
        <v>上端筋</v>
      </c>
      <c r="O52" s="13"/>
      <c r="P52" s="13"/>
      <c r="Q52" s="13"/>
      <c r="R52" s="17" t="str">
        <f t="shared" si="29"/>
        <v>Mf5'= L ^ 2 / 30 * (g + p) * 3/4=</v>
      </c>
      <c r="S52" s="18">
        <f t="shared" si="30"/>
        <v>5.8064999999999998</v>
      </c>
      <c r="T52" s="13">
        <f t="shared" si="37"/>
        <v>0</v>
      </c>
      <c r="U52" s="18">
        <f t="shared" si="32"/>
        <v>7.742</v>
      </c>
    </row>
    <row r="53" spans="2:21" x14ac:dyDescent="0.4">
      <c r="B53" s="13" t="s">
        <v>58</v>
      </c>
      <c r="C53" s="16" t="str">
        <f t="shared" si="33"/>
        <v>下端筋</v>
      </c>
      <c r="D53" s="13"/>
      <c r="E53" s="13"/>
      <c r="F53" s="13"/>
      <c r="G53" s="17" t="str">
        <f>flat_slab_side(B$8,D$8/10000,F$8/1000,B53,2)</f>
        <v>Mf2'=L ^2 * (g / 26 + p / 16) * 3/4=</v>
      </c>
      <c r="H53" s="18">
        <f t="shared" si="34"/>
        <v>9.5873000000000008</v>
      </c>
      <c r="I53" s="13">
        <f t="shared" si="35"/>
        <v>2.4999999999053557E-5</v>
      </c>
      <c r="J53" s="18">
        <f t="shared" si="36"/>
        <v>12.783099999999999</v>
      </c>
      <c r="K53" s="13"/>
      <c r="L53" s="13"/>
      <c r="M53" s="13" t="str">
        <f t="shared" si="27"/>
        <v>Mf2'</v>
      </c>
      <c r="N53" s="16" t="str">
        <f t="shared" si="28"/>
        <v>下端筋</v>
      </c>
      <c r="O53" s="13"/>
      <c r="P53" s="13"/>
      <c r="Q53" s="13"/>
      <c r="R53" s="17" t="str">
        <f t="shared" si="29"/>
        <v>Mf2'=L ^2 * (g / 26 + p / 16) * 3/4=</v>
      </c>
      <c r="S53" s="18">
        <f t="shared" si="30"/>
        <v>7.3403</v>
      </c>
      <c r="T53" s="13">
        <f t="shared" si="37"/>
        <v>-4.9999999998995293E-5</v>
      </c>
      <c r="U53" s="18">
        <f t="shared" si="32"/>
        <v>9.7870000000000008</v>
      </c>
    </row>
    <row r="54" spans="2:21" x14ac:dyDescent="0.4">
      <c r="B54" s="13" t="s">
        <v>59</v>
      </c>
      <c r="C54" s="16" t="str">
        <f t="shared" si="33"/>
        <v>下端筋</v>
      </c>
      <c r="D54" s="13"/>
      <c r="E54" s="13"/>
      <c r="F54" s="13"/>
      <c r="G54" s="17" t="str">
        <f>flat_slab_side(B$8,D$8/10000,F$8/1000,B54,2)</f>
        <v>Mf4'=L ^ 2 * (g / 32 + p / 16) * 3/4=</v>
      </c>
      <c r="H54" s="18">
        <f t="shared" si="34"/>
        <v>8.1974999999999998</v>
      </c>
      <c r="I54" s="13">
        <f t="shared" si="35"/>
        <v>0</v>
      </c>
      <c r="J54" s="18">
        <f t="shared" si="36"/>
        <v>10.93</v>
      </c>
      <c r="K54" s="13"/>
      <c r="L54" s="13"/>
      <c r="M54" s="13" t="str">
        <f t="shared" si="27"/>
        <v>Mf4'</v>
      </c>
      <c r="N54" s="16" t="str">
        <f t="shared" si="28"/>
        <v>下端筋</v>
      </c>
      <c r="O54" s="13"/>
      <c r="P54" s="13"/>
      <c r="Q54" s="13"/>
      <c r="R54" s="17" t="str">
        <f t="shared" si="29"/>
        <v>Mf4'=L ^ 2 * (g / 32 + p / 16) * 3/4=</v>
      </c>
      <c r="S54" s="18">
        <f t="shared" si="30"/>
        <v>6.2762000000000002</v>
      </c>
      <c r="T54" s="13">
        <f t="shared" si="37"/>
        <v>2.4999999999941735E-5</v>
      </c>
      <c r="U54" s="18">
        <f t="shared" si="32"/>
        <v>8.3682999999999996</v>
      </c>
    </row>
    <row r="55" spans="2:21" x14ac:dyDescent="0.4"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</row>
    <row r="56" spans="2:21" x14ac:dyDescent="0.4">
      <c r="B56" s="13" t="s">
        <v>23</v>
      </c>
      <c r="C56" s="15" t="s">
        <v>19</v>
      </c>
      <c r="D56" s="15" t="s">
        <v>20</v>
      </c>
      <c r="E56" s="15" t="s">
        <v>21</v>
      </c>
      <c r="F56" s="13"/>
      <c r="G56" s="15" t="s">
        <v>25</v>
      </c>
      <c r="H56" s="13"/>
      <c r="I56" s="13"/>
      <c r="J56" s="13"/>
      <c r="K56" s="13"/>
      <c r="L56" s="13"/>
      <c r="M56" s="13" t="s">
        <v>23</v>
      </c>
      <c r="N56" s="15" t="s">
        <v>19</v>
      </c>
      <c r="O56" s="15" t="s">
        <v>20</v>
      </c>
      <c r="P56" s="15" t="s">
        <v>21</v>
      </c>
      <c r="Q56" s="13"/>
      <c r="R56" s="15" t="s">
        <v>25</v>
      </c>
      <c r="S56" s="13"/>
      <c r="T56" s="13"/>
      <c r="U56" s="13"/>
    </row>
    <row r="57" spans="2:21" x14ac:dyDescent="0.4">
      <c r="B57" s="13" t="s">
        <v>24</v>
      </c>
      <c r="C57" s="15">
        <f>+C23</f>
        <v>250</v>
      </c>
      <c r="D57" s="15">
        <v>30</v>
      </c>
      <c r="E57" s="15">
        <v>50</v>
      </c>
      <c r="F57" s="13"/>
      <c r="G57" s="13">
        <v>195</v>
      </c>
      <c r="H57" s="13"/>
      <c r="I57" s="13"/>
      <c r="J57" s="13"/>
      <c r="K57" s="13"/>
      <c r="L57" s="13"/>
      <c r="M57" s="13" t="s">
        <v>24</v>
      </c>
      <c r="N57" s="15">
        <f>+N23</f>
        <v>250</v>
      </c>
      <c r="O57" s="15">
        <v>30</v>
      </c>
      <c r="P57" s="15">
        <v>50</v>
      </c>
      <c r="Q57" s="13"/>
      <c r="R57" s="13">
        <v>195</v>
      </c>
      <c r="S57" s="13"/>
      <c r="T57" s="13"/>
      <c r="U57" s="13"/>
    </row>
    <row r="58" spans="2:21" x14ac:dyDescent="0.4"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</row>
    <row r="59" spans="2:21" x14ac:dyDescent="0.4">
      <c r="B59" s="13" t="s">
        <v>13</v>
      </c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 t="s">
        <v>13</v>
      </c>
      <c r="N59" s="13"/>
      <c r="O59" s="13"/>
      <c r="P59" s="13"/>
      <c r="Q59" s="13"/>
      <c r="R59" s="13"/>
      <c r="S59" s="13"/>
      <c r="T59" s="13"/>
      <c r="U59" s="13"/>
    </row>
    <row r="60" spans="2:21" x14ac:dyDescent="0.4">
      <c r="B60" s="13"/>
      <c r="C60" s="13" t="s">
        <v>22</v>
      </c>
      <c r="D60" s="13" t="s">
        <v>31</v>
      </c>
      <c r="E60" s="15" t="s">
        <v>32</v>
      </c>
      <c r="F60" s="15" t="s">
        <v>33</v>
      </c>
      <c r="G60" s="15" t="s">
        <v>34</v>
      </c>
      <c r="H60" s="15" t="s">
        <v>52</v>
      </c>
      <c r="I60" s="15" t="s">
        <v>35</v>
      </c>
      <c r="J60" s="15" t="s">
        <v>54</v>
      </c>
      <c r="K60" s="13"/>
      <c r="L60" s="13"/>
      <c r="M60" s="13"/>
      <c r="N60" s="13" t="s">
        <v>22</v>
      </c>
      <c r="O60" s="13" t="s">
        <v>31</v>
      </c>
      <c r="P60" s="15" t="s">
        <v>32</v>
      </c>
      <c r="Q60" s="15" t="s">
        <v>33</v>
      </c>
      <c r="R60" s="15" t="s">
        <v>34</v>
      </c>
      <c r="S60" s="15" t="s">
        <v>52</v>
      </c>
      <c r="T60" s="15" t="s">
        <v>35</v>
      </c>
      <c r="U60" s="15" t="s">
        <v>54</v>
      </c>
    </row>
    <row r="61" spans="2:21" x14ac:dyDescent="0.4">
      <c r="B61" s="13" t="str">
        <f>B44</f>
        <v>Mg1'</v>
      </c>
      <c r="C61" s="18">
        <f>H44</f>
        <v>12.64</v>
      </c>
      <c r="D61" s="16" t="str">
        <f>C44</f>
        <v>上端筋</v>
      </c>
      <c r="E61" s="13" t="s">
        <v>18</v>
      </c>
      <c r="F61" s="13" cm="1">
        <f t="array" ref="F61">C$23-D$23-bar_1(E61,4)/2</f>
        <v>213</v>
      </c>
      <c r="G61" s="13">
        <f>F61*7/8</f>
        <v>186.375</v>
      </c>
      <c r="H61" s="19">
        <f>C61*1000*1000/(G$23*G61)</f>
        <v>347.79617878209427</v>
      </c>
      <c r="I61" s="20">
        <f>bar_1(J61,1)</f>
        <v>423.33333333333337</v>
      </c>
      <c r="J61" s="19" t="str">
        <f>use_bar(H61,E61,1)</f>
        <v>D13@ 300</v>
      </c>
      <c r="K61" s="13"/>
      <c r="L61" s="13"/>
      <c r="M61" s="13" t="s">
        <v>7</v>
      </c>
      <c r="N61" s="18">
        <f>S44</f>
        <v>9.6775000000000002</v>
      </c>
      <c r="O61" s="16" t="str">
        <f>N44</f>
        <v>上端筋</v>
      </c>
      <c r="P61" s="13" t="s">
        <v>18</v>
      </c>
      <c r="Q61" s="13" cm="1">
        <f t="array" ref="Q61">N$23-O$23-bar_1(P61,4)/2</f>
        <v>213</v>
      </c>
      <c r="R61" s="13">
        <f>Q61*7/8</f>
        <v>186.375</v>
      </c>
      <c r="S61" s="19">
        <f>N61*1000*1000/(R$23*R61)</f>
        <v>266.28144938004095</v>
      </c>
      <c r="T61" s="20">
        <f>bar_1(U61,1)</f>
        <v>423.33333333333337</v>
      </c>
      <c r="U61" s="19" t="str">
        <f>use_bar(S61,P61,1)</f>
        <v>D13@ 300</v>
      </c>
    </row>
    <row r="62" spans="2:21" x14ac:dyDescent="0.4">
      <c r="B62" s="13" t="str">
        <f t="shared" ref="B62:B71" si="38">B45</f>
        <v>Mg3'</v>
      </c>
      <c r="C62" s="18">
        <f t="shared" ref="C62:C65" si="39">H45</f>
        <v>18.96</v>
      </c>
      <c r="D62" s="16" t="str">
        <f t="shared" ref="D62:D65" si="40">C45</f>
        <v>上端筋</v>
      </c>
      <c r="E62" s="13" t="str">
        <f>E61</f>
        <v>D13</v>
      </c>
      <c r="F62" s="13" cm="1">
        <f t="array" ref="F62">C$23-D$23-bar_1(E62,4)/2</f>
        <v>213</v>
      </c>
      <c r="G62" s="13">
        <f t="shared" ref="G62:G65" si="41">F62*7/8</f>
        <v>186.375</v>
      </c>
      <c r="H62" s="19">
        <f t="shared" ref="H62:H65" si="42">C62*1000*1000/(G$23*G62)</f>
        <v>521.69426817314138</v>
      </c>
      <c r="I62" s="20">
        <f t="shared" ref="I62:I71" si="43">bar_1(J62,1)</f>
        <v>635</v>
      </c>
      <c r="J62" s="19" t="str">
        <f t="shared" ref="J62:J65" si="44">use_bar(H62,E62,1)</f>
        <v>D13@ 200</v>
      </c>
      <c r="K62" s="13"/>
      <c r="L62" s="13"/>
      <c r="M62" s="13" t="s">
        <v>9</v>
      </c>
      <c r="N62" s="18">
        <f t="shared" ref="N62:N71" si="45">S45</f>
        <v>14.516299999999999</v>
      </c>
      <c r="O62" s="16" t="str">
        <f t="shared" ref="O62:O71" si="46">N45</f>
        <v>上端筋</v>
      </c>
      <c r="P62" s="13" t="str">
        <f>P61</f>
        <v>D13</v>
      </c>
      <c r="Q62" s="13" cm="1">
        <f t="array" ref="Q62">N$23-O$23-bar_1(P62,4)/2</f>
        <v>213</v>
      </c>
      <c r="R62" s="13">
        <f t="shared" ref="R62:R71" si="47">Q62*7/8</f>
        <v>186.375</v>
      </c>
      <c r="S62" s="19">
        <f t="shared" ref="S62:S65" si="48">N62*1000*1000/(R$23*R62)</f>
        <v>399.42354984608505</v>
      </c>
      <c r="T62" s="20">
        <f t="shared" ref="T62:T71" si="49">bar_1(U62,1)</f>
        <v>423.33333333333337</v>
      </c>
      <c r="U62" s="19" t="str">
        <f t="shared" ref="U62:U71" si="50">use_bar(S62,P62,1)</f>
        <v>D13@ 300</v>
      </c>
    </row>
    <row r="63" spans="2:21" x14ac:dyDescent="0.4">
      <c r="B63" s="13" t="str">
        <f t="shared" si="38"/>
        <v>Mg5'</v>
      </c>
      <c r="C63" s="18">
        <f t="shared" si="39"/>
        <v>15.167999999999999</v>
      </c>
      <c r="D63" s="16" t="str">
        <f t="shared" si="40"/>
        <v>上端筋</v>
      </c>
      <c r="E63" s="13" t="str">
        <f t="shared" ref="E63" si="51">E62</f>
        <v>D13</v>
      </c>
      <c r="F63" s="13" cm="1">
        <f t="array" ref="F63">C$23-D$23-bar_1(E63,4)/2</f>
        <v>213</v>
      </c>
      <c r="G63" s="13">
        <f t="shared" si="41"/>
        <v>186.375</v>
      </c>
      <c r="H63" s="19">
        <f t="shared" si="42"/>
        <v>417.35541453851312</v>
      </c>
      <c r="I63" s="20">
        <f t="shared" si="43"/>
        <v>423.33333333333337</v>
      </c>
      <c r="J63" s="19" t="str">
        <f t="shared" si="44"/>
        <v>D13@ 300</v>
      </c>
      <c r="K63" s="13"/>
      <c r="L63" s="13"/>
      <c r="M63" s="13" t="s">
        <v>10</v>
      </c>
      <c r="N63" s="18">
        <f t="shared" si="45"/>
        <v>11.613</v>
      </c>
      <c r="O63" s="16" t="str">
        <f t="shared" si="46"/>
        <v>上端筋</v>
      </c>
      <c r="P63" s="13" t="str">
        <f t="shared" ref="P63" si="52">P62</f>
        <v>D13</v>
      </c>
      <c r="Q63" s="13" cm="1">
        <f t="array" ref="Q63">N$23-O$23-bar_1(P63,4)/2</f>
        <v>213</v>
      </c>
      <c r="R63" s="13">
        <f t="shared" si="47"/>
        <v>186.375</v>
      </c>
      <c r="S63" s="19">
        <f t="shared" si="48"/>
        <v>319.53773925604912</v>
      </c>
      <c r="T63" s="20">
        <f t="shared" si="49"/>
        <v>423.33333333333337</v>
      </c>
      <c r="U63" s="19" t="str">
        <f t="shared" si="50"/>
        <v>D13@ 300</v>
      </c>
    </row>
    <row r="64" spans="2:21" x14ac:dyDescent="0.4">
      <c r="B64" s="13" t="str">
        <f t="shared" si="38"/>
        <v>Mg2'</v>
      </c>
      <c r="C64" s="18">
        <f t="shared" si="39"/>
        <v>8.2086000000000006</v>
      </c>
      <c r="D64" s="16" t="str">
        <f t="shared" si="40"/>
        <v>下端筋</v>
      </c>
      <c r="E64" s="13" t="s">
        <v>18</v>
      </c>
      <c r="F64" s="13" cm="1">
        <f t="array" ref="F64">C$23-E$23-bar_1(E64,4)/2</f>
        <v>193</v>
      </c>
      <c r="G64" s="13">
        <f t="shared" si="41"/>
        <v>168.875</v>
      </c>
      <c r="H64" s="19">
        <f t="shared" si="42"/>
        <v>249.26948698969426</v>
      </c>
      <c r="I64" s="20">
        <f t="shared" si="43"/>
        <v>423.33333333333337</v>
      </c>
      <c r="J64" s="19" t="str">
        <f t="shared" si="44"/>
        <v>D13@ 300</v>
      </c>
      <c r="K64" s="13"/>
      <c r="L64" s="13"/>
      <c r="M64" s="13" t="s">
        <v>8</v>
      </c>
      <c r="N64" s="18">
        <f t="shared" si="45"/>
        <v>6.2847</v>
      </c>
      <c r="O64" s="16" t="str">
        <f t="shared" si="46"/>
        <v>下端筋</v>
      </c>
      <c r="P64" s="13" t="s">
        <v>18</v>
      </c>
      <c r="Q64" s="13" cm="1">
        <f t="array" ref="Q64">N$23-P$23-bar_1(P64,4)/2</f>
        <v>193</v>
      </c>
      <c r="R64" s="13">
        <f t="shared" si="47"/>
        <v>168.875</v>
      </c>
      <c r="S64" s="19">
        <f t="shared" si="48"/>
        <v>190.84666628708081</v>
      </c>
      <c r="T64" s="20">
        <f t="shared" si="49"/>
        <v>423.33333333333337</v>
      </c>
      <c r="U64" s="19" t="str">
        <f t="shared" si="50"/>
        <v>D13@ 300</v>
      </c>
    </row>
    <row r="65" spans="2:21" x14ac:dyDescent="0.4">
      <c r="B65" s="13" t="str">
        <f t="shared" si="38"/>
        <v>Mg4'</v>
      </c>
      <c r="C65" s="18">
        <f t="shared" si="39"/>
        <v>6.7262000000000004</v>
      </c>
      <c r="D65" s="16" t="str">
        <f t="shared" si="40"/>
        <v>下端筋</v>
      </c>
      <c r="E65" s="13" t="str">
        <f t="shared" ref="E65" si="53">E64</f>
        <v>D13</v>
      </c>
      <c r="F65" s="13" cm="1">
        <f t="array" ref="F65">C$23-E$23-bar_1(E65,4)/2</f>
        <v>193</v>
      </c>
      <c r="G65" s="13">
        <f t="shared" si="41"/>
        <v>168.875</v>
      </c>
      <c r="H65" s="19">
        <f t="shared" si="42"/>
        <v>204.25363927954604</v>
      </c>
      <c r="I65" s="20">
        <f t="shared" si="43"/>
        <v>423.33333333333337</v>
      </c>
      <c r="J65" s="19" t="str">
        <f t="shared" si="44"/>
        <v>D13@ 300</v>
      </c>
      <c r="K65" s="13"/>
      <c r="L65" s="13"/>
      <c r="M65" s="13" t="s">
        <v>14</v>
      </c>
      <c r="N65" s="18">
        <f t="shared" si="45"/>
        <v>5.1497000000000002</v>
      </c>
      <c r="O65" s="16" t="str">
        <f t="shared" si="46"/>
        <v>下端筋</v>
      </c>
      <c r="P65" s="13" t="str">
        <f t="shared" ref="P65" si="54">P64</f>
        <v>D13</v>
      </c>
      <c r="Q65" s="13" cm="1">
        <f t="array" ref="Q65">N$23-P$23-bar_1(P65,4)/2</f>
        <v>193</v>
      </c>
      <c r="R65" s="13">
        <f t="shared" si="47"/>
        <v>168.875</v>
      </c>
      <c r="S65" s="19">
        <f t="shared" si="48"/>
        <v>156.38026912638313</v>
      </c>
      <c r="T65" s="20">
        <f t="shared" si="49"/>
        <v>423.33333333333337</v>
      </c>
      <c r="U65" s="19" t="str">
        <f t="shared" si="50"/>
        <v>D13@ 300</v>
      </c>
    </row>
    <row r="66" spans="2:21" x14ac:dyDescent="0.4">
      <c r="B66" s="13" t="str">
        <f t="shared" si="38"/>
        <v>柱間帯</v>
      </c>
      <c r="C66" s="13" t="s">
        <v>22</v>
      </c>
      <c r="D66" s="13" t="s">
        <v>31</v>
      </c>
      <c r="E66" s="15" t="s">
        <v>32</v>
      </c>
      <c r="F66" s="15" t="s">
        <v>33</v>
      </c>
      <c r="G66" s="15" t="s">
        <v>34</v>
      </c>
      <c r="H66" s="15" t="s">
        <v>52</v>
      </c>
      <c r="I66" s="15" t="s">
        <v>35</v>
      </c>
      <c r="J66" s="15" t="s">
        <v>54</v>
      </c>
      <c r="K66" s="13"/>
      <c r="L66" s="13"/>
      <c r="M66" s="13" t="s">
        <v>15</v>
      </c>
      <c r="N66" s="18"/>
      <c r="O66" s="16"/>
      <c r="P66" s="13"/>
      <c r="Q66" s="13"/>
      <c r="R66" s="13"/>
      <c r="S66" s="19"/>
      <c r="T66" s="20"/>
      <c r="U66" s="19"/>
    </row>
    <row r="67" spans="2:21" x14ac:dyDescent="0.4">
      <c r="B67" s="13" t="str">
        <f t="shared" si="38"/>
        <v>Mf1'</v>
      </c>
      <c r="C67" s="18">
        <f t="shared" ref="C67:C71" si="55">H50</f>
        <v>6.32</v>
      </c>
      <c r="D67" s="16" t="str">
        <f t="shared" ref="D67:D71" si="56">C50</f>
        <v>上端筋</v>
      </c>
      <c r="E67" s="13" t="s">
        <v>18</v>
      </c>
      <c r="F67" s="13" cm="1">
        <f t="array" ref="F67">C$23-D$23-bar_1(E67,4)/2</f>
        <v>213</v>
      </c>
      <c r="G67" s="13">
        <f t="shared" ref="G67:G71" si="57">F67*7/8</f>
        <v>186.375</v>
      </c>
      <c r="H67" s="19">
        <f t="shared" ref="H67:H71" si="58">C67*1000*1000/(G$23*G67)</f>
        <v>173.89808939104714</v>
      </c>
      <c r="I67" s="20">
        <f t="shared" si="43"/>
        <v>423.33333333333337</v>
      </c>
      <c r="J67" s="19" t="str">
        <f t="shared" ref="J66:J71" si="59">use_bar(H67,E67,1)</f>
        <v>D13@ 300</v>
      </c>
      <c r="K67" s="13"/>
      <c r="L67" s="13"/>
      <c r="M67" s="13" t="s">
        <v>4</v>
      </c>
      <c r="N67" s="18">
        <f t="shared" ref="N67:N71" si="60">S50</f>
        <v>4.8388</v>
      </c>
      <c r="O67" s="16" t="str">
        <f t="shared" ref="O67:O71" si="61">N50</f>
        <v>上端筋</v>
      </c>
      <c r="P67" s="13" t="s">
        <v>18</v>
      </c>
      <c r="Q67" s="13" cm="1">
        <f t="array" ref="Q67">N$23-O$23-bar_1(P67,4)/2</f>
        <v>213</v>
      </c>
      <c r="R67" s="13">
        <f t="shared" ref="R67:R71" si="62">Q67*7/8</f>
        <v>186.375</v>
      </c>
      <c r="S67" s="19">
        <f t="shared" ref="S67:S71" si="63">N67*1000*1000/(R$23*R67)</f>
        <v>133.14210046604413</v>
      </c>
      <c r="T67" s="20">
        <f t="shared" si="49"/>
        <v>423.33333333333337</v>
      </c>
      <c r="U67" s="19" t="str">
        <f t="shared" si="50"/>
        <v>D13@ 300</v>
      </c>
    </row>
    <row r="68" spans="2:21" x14ac:dyDescent="0.4">
      <c r="B68" s="13" t="str">
        <f t="shared" si="38"/>
        <v>Mf3'</v>
      </c>
      <c r="C68" s="18">
        <f t="shared" si="55"/>
        <v>9.48</v>
      </c>
      <c r="D68" s="16" t="str">
        <f t="shared" si="56"/>
        <v>上端筋</v>
      </c>
      <c r="E68" s="13" t="str">
        <f t="shared" ref="E68:E71" si="64">E67</f>
        <v>D13</v>
      </c>
      <c r="F68" s="13" cm="1">
        <f t="array" ref="F68">C$23-D$23-bar_1(E68,4)/2</f>
        <v>213</v>
      </c>
      <c r="G68" s="13">
        <f t="shared" si="57"/>
        <v>186.375</v>
      </c>
      <c r="H68" s="19">
        <f t="shared" si="58"/>
        <v>260.84713408657069</v>
      </c>
      <c r="I68" s="20">
        <f t="shared" si="43"/>
        <v>423.33333333333337</v>
      </c>
      <c r="J68" s="19" t="str">
        <f t="shared" si="59"/>
        <v>D13@ 300</v>
      </c>
      <c r="K68" s="13"/>
      <c r="L68" s="13"/>
      <c r="M68" s="13" t="s">
        <v>5</v>
      </c>
      <c r="N68" s="18">
        <f t="shared" si="60"/>
        <v>7.2580999999999998</v>
      </c>
      <c r="O68" s="16" t="str">
        <f t="shared" si="61"/>
        <v>上端筋</v>
      </c>
      <c r="P68" s="13" t="str">
        <f t="shared" ref="P68:P71" si="65">P67</f>
        <v>D13</v>
      </c>
      <c r="Q68" s="13" cm="1">
        <f t="array" ref="Q68">N$23-O$23-bar_1(P68,4)/2</f>
        <v>213</v>
      </c>
      <c r="R68" s="13">
        <f t="shared" si="62"/>
        <v>186.375</v>
      </c>
      <c r="S68" s="19">
        <f t="shared" si="63"/>
        <v>199.71039914701885</v>
      </c>
      <c r="T68" s="20">
        <f t="shared" si="49"/>
        <v>423.33333333333337</v>
      </c>
      <c r="U68" s="19" t="str">
        <f t="shared" si="50"/>
        <v>D13@ 300</v>
      </c>
    </row>
    <row r="69" spans="2:21" x14ac:dyDescent="0.4">
      <c r="B69" s="13" t="str">
        <f t="shared" si="38"/>
        <v>Mf5'</v>
      </c>
      <c r="C69" s="18">
        <f t="shared" si="55"/>
        <v>7.5839999999999996</v>
      </c>
      <c r="D69" s="16" t="str">
        <f t="shared" si="56"/>
        <v>上端筋</v>
      </c>
      <c r="E69" s="13" t="str">
        <f t="shared" si="64"/>
        <v>D13</v>
      </c>
      <c r="F69" s="13" cm="1">
        <f t="array" ref="F69">C$23-D$23-bar_1(E69,4)/2</f>
        <v>213</v>
      </c>
      <c r="G69" s="13">
        <f t="shared" si="57"/>
        <v>186.375</v>
      </c>
      <c r="H69" s="19">
        <f t="shared" si="58"/>
        <v>208.67770726925656</v>
      </c>
      <c r="I69" s="20">
        <f t="shared" si="43"/>
        <v>423.33333333333337</v>
      </c>
      <c r="J69" s="19" t="str">
        <f t="shared" si="59"/>
        <v>D13@ 300</v>
      </c>
      <c r="K69" s="13"/>
      <c r="L69" s="13"/>
      <c r="M69" s="13" t="s">
        <v>6</v>
      </c>
      <c r="N69" s="18">
        <f t="shared" si="60"/>
        <v>5.8064999999999998</v>
      </c>
      <c r="O69" s="16" t="str">
        <f t="shared" si="61"/>
        <v>上端筋</v>
      </c>
      <c r="P69" s="13" t="str">
        <f t="shared" si="65"/>
        <v>D13</v>
      </c>
      <c r="Q69" s="13" cm="1">
        <f t="array" ref="Q69">N$23-O$23-bar_1(P69,4)/2</f>
        <v>213</v>
      </c>
      <c r="R69" s="13">
        <f t="shared" si="62"/>
        <v>186.375</v>
      </c>
      <c r="S69" s="19">
        <f t="shared" si="63"/>
        <v>159.76886962802456</v>
      </c>
      <c r="T69" s="20">
        <f t="shared" si="49"/>
        <v>423.33333333333337</v>
      </c>
      <c r="U69" s="19" t="str">
        <f t="shared" si="50"/>
        <v>D13@ 300</v>
      </c>
    </row>
    <row r="70" spans="2:21" x14ac:dyDescent="0.4">
      <c r="B70" s="13" t="str">
        <f t="shared" si="38"/>
        <v>Mf2'</v>
      </c>
      <c r="C70" s="18">
        <f t="shared" si="55"/>
        <v>9.5873000000000008</v>
      </c>
      <c r="D70" s="16" t="str">
        <f t="shared" si="56"/>
        <v>下端筋</v>
      </c>
      <c r="E70" s="13" t="str">
        <f t="shared" si="64"/>
        <v>D13</v>
      </c>
      <c r="F70" s="13" cm="1">
        <f t="array" ref="F70">C$23-E$23-bar_1(E70,4)/2</f>
        <v>193</v>
      </c>
      <c r="G70" s="13">
        <f t="shared" si="57"/>
        <v>168.875</v>
      </c>
      <c r="H70" s="19">
        <f t="shared" si="58"/>
        <v>291.13629030727481</v>
      </c>
      <c r="I70" s="20">
        <f t="shared" si="43"/>
        <v>423.33333333333337</v>
      </c>
      <c r="J70" s="19" t="str">
        <f t="shared" si="59"/>
        <v>D13@ 300</v>
      </c>
      <c r="K70" s="13"/>
      <c r="L70" s="13"/>
      <c r="M70" s="13" t="s">
        <v>16</v>
      </c>
      <c r="N70" s="18">
        <f t="shared" si="60"/>
        <v>7.3403</v>
      </c>
      <c r="O70" s="16" t="str">
        <f t="shared" si="61"/>
        <v>下端筋</v>
      </c>
      <c r="P70" s="13" t="str">
        <f t="shared" si="65"/>
        <v>D13</v>
      </c>
      <c r="Q70" s="13" cm="1">
        <f t="array" ref="Q70">N$23-P$23-bar_1(P70,4)/2</f>
        <v>193</v>
      </c>
      <c r="R70" s="13">
        <f t="shared" si="62"/>
        <v>168.875</v>
      </c>
      <c r="S70" s="19">
        <f t="shared" si="63"/>
        <v>222.90193399001689</v>
      </c>
      <c r="T70" s="20">
        <f t="shared" si="49"/>
        <v>423.33333333333337</v>
      </c>
      <c r="U70" s="19" t="str">
        <f t="shared" si="50"/>
        <v>D13@ 300</v>
      </c>
    </row>
    <row r="71" spans="2:21" x14ac:dyDescent="0.4">
      <c r="B71" s="13" t="str">
        <f t="shared" si="38"/>
        <v>Mf4'</v>
      </c>
      <c r="C71" s="18">
        <f t="shared" si="55"/>
        <v>8.1974999999999998</v>
      </c>
      <c r="D71" s="16" t="str">
        <f t="shared" si="56"/>
        <v>下端筋</v>
      </c>
      <c r="E71" s="13" t="str">
        <f t="shared" si="64"/>
        <v>D13</v>
      </c>
      <c r="F71" s="13" cm="1">
        <f t="array" ref="F71">C$23-E$23-bar_1(E71,4)/2</f>
        <v>193</v>
      </c>
      <c r="G71" s="13">
        <f t="shared" si="57"/>
        <v>168.875</v>
      </c>
      <c r="H71" s="19">
        <f t="shared" si="58"/>
        <v>248.93241473552354</v>
      </c>
      <c r="I71" s="20">
        <f t="shared" si="43"/>
        <v>423.33333333333337</v>
      </c>
      <c r="J71" s="19" t="str">
        <f t="shared" si="59"/>
        <v>D13@ 300</v>
      </c>
      <c r="K71" s="13"/>
      <c r="L71" s="13"/>
      <c r="M71" s="13" t="s">
        <v>17</v>
      </c>
      <c r="N71" s="18">
        <f t="shared" si="60"/>
        <v>6.2762000000000002</v>
      </c>
      <c r="O71" s="16" t="str">
        <f t="shared" si="61"/>
        <v>下端筋</v>
      </c>
      <c r="P71" s="13" t="str">
        <f t="shared" si="65"/>
        <v>D13</v>
      </c>
      <c r="Q71" s="13" cm="1">
        <f t="array" ref="Q71">N$23-P$23-bar_1(P71,4)/2</f>
        <v>193</v>
      </c>
      <c r="R71" s="13">
        <f t="shared" si="62"/>
        <v>168.875</v>
      </c>
      <c r="S71" s="19">
        <f t="shared" si="63"/>
        <v>190.58854789424737</v>
      </c>
      <c r="T71" s="20">
        <f t="shared" si="49"/>
        <v>423.33333333333337</v>
      </c>
      <c r="U71" s="19" t="str">
        <f t="shared" si="50"/>
        <v>D13@ 300</v>
      </c>
    </row>
  </sheetData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30317-A3D4-4D1C-BEE6-D17E1337FD96}">
  <sheetPr codeName="Sheet2"/>
  <dimension ref="B2:J35"/>
  <sheetViews>
    <sheetView topLeftCell="A19" workbookViewId="0">
      <selection activeCell="I31" sqref="I31:J31"/>
    </sheetView>
  </sheetViews>
  <sheetFormatPr defaultRowHeight="18.75" x14ac:dyDescent="0.4"/>
  <cols>
    <col min="1" max="1" width="2.625" customWidth="1"/>
    <col min="2" max="16" width="8.125" customWidth="1"/>
  </cols>
  <sheetData>
    <row r="2" spans="2:10" x14ac:dyDescent="0.4">
      <c r="B2" t="s">
        <v>36</v>
      </c>
    </row>
    <row r="3" spans="2:10" x14ac:dyDescent="0.4">
      <c r="B3" t="s">
        <v>37</v>
      </c>
    </row>
    <row r="4" spans="2:10" x14ac:dyDescent="0.4">
      <c r="B4" s="11" t="s">
        <v>38</v>
      </c>
      <c r="C4" s="11"/>
      <c r="D4" s="11" t="s">
        <v>39</v>
      </c>
      <c r="E4" s="11"/>
      <c r="F4" s="11" t="s">
        <v>44</v>
      </c>
      <c r="G4" s="11"/>
      <c r="H4" s="10" t="s">
        <v>42</v>
      </c>
      <c r="I4" s="10" t="s">
        <v>43</v>
      </c>
      <c r="J4" s="4" t="s">
        <v>25</v>
      </c>
    </row>
    <row r="5" spans="2:10" x14ac:dyDescent="0.4">
      <c r="B5">
        <v>4</v>
      </c>
      <c r="C5" t="s">
        <v>40</v>
      </c>
      <c r="D5">
        <v>3.5</v>
      </c>
      <c r="E5" t="s">
        <v>40</v>
      </c>
      <c r="F5" s="2">
        <v>250</v>
      </c>
      <c r="G5" t="s">
        <v>41</v>
      </c>
      <c r="H5" s="4">
        <v>30</v>
      </c>
      <c r="I5" s="4">
        <v>50</v>
      </c>
      <c r="J5" s="4">
        <v>157</v>
      </c>
    </row>
    <row r="6" spans="2:10" x14ac:dyDescent="0.4">
      <c r="B6" t="s">
        <v>45</v>
      </c>
      <c r="D6" s="5"/>
      <c r="F6" s="5"/>
    </row>
    <row r="7" spans="2:10" x14ac:dyDescent="0.4">
      <c r="C7" s="2" t="s">
        <v>0</v>
      </c>
      <c r="E7">
        <f>Sheet1!E3</f>
        <v>10060</v>
      </c>
    </row>
    <row r="8" spans="2:10" x14ac:dyDescent="0.4">
      <c r="C8" s="2" t="s">
        <v>3</v>
      </c>
      <c r="D8">
        <f>+F5</f>
        <v>250</v>
      </c>
      <c r="E8">
        <f>Sheet1!E4</f>
        <v>6000</v>
      </c>
      <c r="G8" s="5" t="s">
        <v>11</v>
      </c>
      <c r="I8" s="5" t="s">
        <v>12</v>
      </c>
    </row>
    <row r="9" spans="2:10" x14ac:dyDescent="0.4">
      <c r="C9" s="2"/>
      <c r="D9" s="3" t="s">
        <v>2</v>
      </c>
      <c r="E9">
        <f>Sheet1!E5</f>
        <v>16060</v>
      </c>
      <c r="G9" s="4">
        <f>E9</f>
        <v>16060</v>
      </c>
      <c r="I9" s="4">
        <v>2900</v>
      </c>
    </row>
    <row r="10" spans="2:10" x14ac:dyDescent="0.4">
      <c r="C10" s="2"/>
      <c r="D10" s="3"/>
      <c r="G10" s="4"/>
      <c r="I10" s="4"/>
    </row>
    <row r="11" spans="2:10" x14ac:dyDescent="0.4">
      <c r="B11" t="s">
        <v>46</v>
      </c>
      <c r="E11" s="2" t="s">
        <v>1</v>
      </c>
      <c r="F11" s="4">
        <f>+B5</f>
        <v>4</v>
      </c>
      <c r="G11" t="s">
        <v>47</v>
      </c>
    </row>
    <row r="12" spans="2:10" x14ac:dyDescent="0.4">
      <c r="B12" t="s">
        <v>13</v>
      </c>
      <c r="C12" t="s">
        <v>9</v>
      </c>
      <c r="D12" s="1" t="str" cm="1">
        <f t="array" ref="D12">flat_slab(F$11,G$9/10000,I$9/1000,C12,3)</f>
        <v>上端筋</v>
      </c>
      <c r="H12" s="7" t="str" cm="1">
        <f t="array" ref="H12">flat_slab(F$11,G$9/10000,I$9/1000,C12,2)</f>
        <v>Mg1=L ^ 2 / 8 * (g + p)=</v>
      </c>
      <c r="I12" s="6" cm="1">
        <f t="array" ref="I12">ROUND(flat_slab(F$11,G$9/1000,I$9/1000,C12,1),4)</f>
        <v>37.92</v>
      </c>
    </row>
    <row r="13" spans="2:10" x14ac:dyDescent="0.4">
      <c r="C13" t="s">
        <v>8</v>
      </c>
      <c r="D13" s="1" t="str" cm="1">
        <f t="array" ref="D13">flat_slab(F$11,G$9/10000,I$9/1000,C13,3)</f>
        <v>下端筋</v>
      </c>
      <c r="H13" s="7" t="str" cm="1">
        <f t="array" ref="H13">flat_slab(F$11,G$9/10000,I$9/1000,C13,2)</f>
        <v>Mg1=L ^ 2 * (g / 20 + p / 13)=</v>
      </c>
      <c r="I13" s="6" cm="1">
        <f t="array" ref="I13">ROUND(flat_slab(F$11,G$9/1000,I$9/1000,C13,1),4)</f>
        <v>16.417200000000001</v>
      </c>
    </row>
    <row r="14" spans="2:10" x14ac:dyDescent="0.4">
      <c r="B14" t="s">
        <v>15</v>
      </c>
      <c r="C14" t="s">
        <v>5</v>
      </c>
      <c r="D14" s="1" t="str" cm="1">
        <f t="array" ref="D14">flat_slab(F$11,G$9/10000,I$9/1000,C14,3)</f>
        <v>上端筋</v>
      </c>
      <c r="H14" s="7" t="str" cm="1">
        <f t="array" ref="H14">flat_slab(F$11,G$9/10000,I$9/1000,C14,2)</f>
        <v>Mf1=L ^ 2 / 24 * (g + p)=</v>
      </c>
      <c r="I14" s="6" cm="1">
        <f t="array" ref="I14">ROUND(flat_slab(F$11,G$9/1000,I$9/1000,C14,1),4)</f>
        <v>12.64</v>
      </c>
    </row>
    <row r="15" spans="2:10" x14ac:dyDescent="0.4">
      <c r="C15" t="s">
        <v>16</v>
      </c>
      <c r="D15" s="1" t="str" cm="1">
        <f t="array" ref="D15">flat_slab(F$11,G$9/10000,I$9/1000,C15,3)</f>
        <v>下端筋</v>
      </c>
      <c r="H15" s="7" t="str" cm="1">
        <f t="array" ref="H15">flat_slab(F$11,G$9/10000,I$9/1000,C15,2)</f>
        <v>Mg1=L ^ 2 * (g / 26 + p / 16)=</v>
      </c>
      <c r="I15" s="6" cm="1">
        <f t="array" ref="I15">ROUND(flat_slab(F$11,G$9/1000,I$9/1000,C15,1),4)</f>
        <v>12.783099999999999</v>
      </c>
    </row>
    <row r="16" spans="2:10" x14ac:dyDescent="0.4">
      <c r="B16" t="s">
        <v>48</v>
      </c>
      <c r="H16" s="7" t="s">
        <v>53</v>
      </c>
    </row>
    <row r="17" spans="2:10" x14ac:dyDescent="0.4">
      <c r="B17" t="s">
        <v>13</v>
      </c>
      <c r="C17" s="4" t="s">
        <v>22</v>
      </c>
      <c r="D17" s="4" t="s">
        <v>31</v>
      </c>
      <c r="E17" s="4" t="s">
        <v>32</v>
      </c>
      <c r="F17" s="4" t="s">
        <v>33</v>
      </c>
      <c r="G17" s="4" t="s">
        <v>34</v>
      </c>
      <c r="H17" s="4" t="s">
        <v>52</v>
      </c>
      <c r="I17" s="4" t="s">
        <v>35</v>
      </c>
      <c r="J17" s="4" t="s">
        <v>54</v>
      </c>
    </row>
    <row r="18" spans="2:10" x14ac:dyDescent="0.4">
      <c r="B18" t="s">
        <v>9</v>
      </c>
      <c r="C18" s="6">
        <f>I12</f>
        <v>37.92</v>
      </c>
      <c r="D18" s="1" t="str">
        <f>D12</f>
        <v>上端筋</v>
      </c>
      <c r="E18" s="4" t="s">
        <v>26</v>
      </c>
      <c r="F18" s="4">
        <f>F$5-H$5-bar_1(E18,4)*1.5</f>
        <v>193</v>
      </c>
      <c r="G18">
        <f t="shared" ref="G18:G19" si="0">F18*7/8</f>
        <v>168.875</v>
      </c>
      <c r="H18" s="9">
        <f>C18*1000*1000/(J$5*G18)</f>
        <v>1430.221539128836</v>
      </c>
      <c r="I18" s="12">
        <f>bar_1(J18,1)</f>
        <v>1630</v>
      </c>
      <c r="J18" s="9" t="str">
        <f>use_bar(H18,E18,1)</f>
        <v>D13D16@ 100</v>
      </c>
    </row>
    <row r="19" spans="2:10" x14ac:dyDescent="0.4">
      <c r="B19" t="s">
        <v>8</v>
      </c>
      <c r="C19" s="6">
        <f>I13</f>
        <v>16.417200000000001</v>
      </c>
      <c r="D19" s="1" t="str">
        <f>D13</f>
        <v>下端筋</v>
      </c>
      <c r="E19" s="4" t="s">
        <v>18</v>
      </c>
      <c r="F19" s="4">
        <f>F$5-I$5-bar_1(E19,4)*1.5</f>
        <v>179</v>
      </c>
      <c r="G19">
        <f t="shared" si="0"/>
        <v>156.625</v>
      </c>
      <c r="H19" s="9">
        <f>C19*1000*1000/(J$5*G19)</f>
        <v>667.63385708694034</v>
      </c>
      <c r="I19" s="12">
        <f t="shared" ref="I19:I22" si="1">bar_1(J19,1)</f>
        <v>846.66666666666674</v>
      </c>
      <c r="J19" s="9" t="str">
        <f t="shared" ref="J19:J22" si="2">use_bar(H19,E19,1)</f>
        <v>D13@ 150</v>
      </c>
    </row>
    <row r="20" spans="2:10" x14ac:dyDescent="0.4">
      <c r="B20" t="s">
        <v>15</v>
      </c>
      <c r="C20" s="6"/>
      <c r="D20" s="1"/>
      <c r="E20" s="4"/>
      <c r="F20" s="4"/>
      <c r="H20" s="9"/>
      <c r="I20" s="12"/>
      <c r="J20" s="9"/>
    </row>
    <row r="21" spans="2:10" x14ac:dyDescent="0.4">
      <c r="B21" t="s">
        <v>5</v>
      </c>
      <c r="C21" s="6">
        <f>I14</f>
        <v>12.64</v>
      </c>
      <c r="D21" s="1" t="str">
        <f>D14</f>
        <v>上端筋</v>
      </c>
      <c r="E21" s="4" t="s">
        <v>18</v>
      </c>
      <c r="F21" s="4" cm="1">
        <f t="array" ref="F21">F$5-H$5-bar_1(E21,4)*1.5</f>
        <v>199</v>
      </c>
      <c r="G21">
        <f t="shared" ref="G21:G22" si="3">F21*7/8</f>
        <v>174.125</v>
      </c>
      <c r="H21" s="9">
        <f>C21*1000*1000/(J$5*G21)</f>
        <v>462.36642722255499</v>
      </c>
      <c r="I21" s="12">
        <f t="shared" si="1"/>
        <v>508</v>
      </c>
      <c r="J21" s="9" t="str">
        <f t="shared" ref="J21:J22" si="4">use_bar(H21,E21,1)</f>
        <v>D13@ 250</v>
      </c>
    </row>
    <row r="22" spans="2:10" x14ac:dyDescent="0.4">
      <c r="B22" t="s">
        <v>16</v>
      </c>
      <c r="C22" s="6">
        <f>I15</f>
        <v>12.783099999999999</v>
      </c>
      <c r="D22" s="1" t="str">
        <f>D15</f>
        <v>下端筋</v>
      </c>
      <c r="E22" s="4" t="s">
        <v>18</v>
      </c>
      <c r="F22" s="4" cm="1">
        <f t="array" ref="F22">F$5-I$5-bar_1(E22,4)*1.5</f>
        <v>179</v>
      </c>
      <c r="G22">
        <f t="shared" si="3"/>
        <v>156.625</v>
      </c>
      <c r="H22" s="9">
        <f>C22*1000*1000/(J$5*G22)</f>
        <v>519.84688975757535</v>
      </c>
      <c r="I22" s="12">
        <f t="shared" si="1"/>
        <v>635</v>
      </c>
      <c r="J22" s="9" t="str">
        <f t="shared" si="4"/>
        <v>D13@ 200</v>
      </c>
    </row>
    <row r="23" spans="2:10" x14ac:dyDescent="0.4">
      <c r="C23" s="6"/>
      <c r="D23" s="1"/>
      <c r="H23" s="9"/>
      <c r="I23" s="8"/>
      <c r="J23" s="9"/>
    </row>
    <row r="24" spans="2:10" x14ac:dyDescent="0.4">
      <c r="B24" t="s">
        <v>49</v>
      </c>
      <c r="E24" s="2" t="s">
        <v>1</v>
      </c>
      <c r="F24" s="4">
        <v>3.5</v>
      </c>
      <c r="G24" t="s">
        <v>47</v>
      </c>
      <c r="I24" t="s">
        <v>50</v>
      </c>
    </row>
    <row r="25" spans="2:10" x14ac:dyDescent="0.4">
      <c r="B25" t="s">
        <v>13</v>
      </c>
      <c r="C25" t="s">
        <v>9</v>
      </c>
      <c r="D25" s="1" t="str" cm="1">
        <f t="array" ref="D25">flat_slab(F$11,G$9/10000,I$9/1000,C25,3)</f>
        <v>上端筋</v>
      </c>
      <c r="H25" s="7" t="str" cm="1">
        <f t="array" ref="H25">flat_slab(F$11,G$9/10000,I$9/1000,C25,2)</f>
        <v>Mg1=L ^ 2 / 8 * (g + p)=</v>
      </c>
      <c r="I25" s="6">
        <f>ROUND(flat_slab(F$24,G$9/1000,I$9/1000,C25,1),4)</f>
        <v>29.032499999999999</v>
      </c>
    </row>
    <row r="26" spans="2:10" x14ac:dyDescent="0.4">
      <c r="C26" t="s">
        <v>8</v>
      </c>
      <c r="D26" s="1" t="str" cm="1">
        <f t="array" ref="D26">flat_slab(F$11,G$9/10000,I$9/1000,C26,3)</f>
        <v>下端筋</v>
      </c>
      <c r="H26" s="7" t="str" cm="1">
        <f t="array" ref="H26">flat_slab(F$11,G$9/10000,I$9/1000,C26,2)</f>
        <v>Mg1=L ^ 2 * (g / 20 + p / 13)=</v>
      </c>
      <c r="I26" s="6">
        <f>ROUND(flat_slab(F$24,G$9/1000,I$9/1000,C26,1),4)</f>
        <v>12.5694</v>
      </c>
    </row>
    <row r="27" spans="2:10" x14ac:dyDescent="0.4">
      <c r="B27" t="s">
        <v>15</v>
      </c>
      <c r="C27" t="s">
        <v>5</v>
      </c>
      <c r="D27" s="1" t="str" cm="1">
        <f t="array" ref="D27">flat_slab(F$11,G$9/10000,I$9/1000,C27,3)</f>
        <v>上端筋</v>
      </c>
      <c r="H27" s="7" t="str" cm="1">
        <f t="array" ref="H27">flat_slab(F$11,G$9/10000,I$9/1000,C27,2)</f>
        <v>Mf1=L ^ 2 / 24 * (g + p)=</v>
      </c>
      <c r="I27" s="6">
        <f>ROUND(flat_slab(F$24,G$9/1000,I$9/1000,C27,1),4)</f>
        <v>9.6775000000000002</v>
      </c>
    </row>
    <row r="28" spans="2:10" x14ac:dyDescent="0.4">
      <c r="C28" t="s">
        <v>16</v>
      </c>
      <c r="D28" s="1" t="str" cm="1">
        <f t="array" ref="D28">flat_slab(F$11,G$9/10000,I$9/1000,C28,3)</f>
        <v>下端筋</v>
      </c>
      <c r="H28" s="7" t="str" cm="1">
        <f t="array" ref="H28">flat_slab(F$11,G$9/10000,I$9/1000,C28,2)</f>
        <v>Mg1=L ^ 2 * (g / 26 + p / 16)=</v>
      </c>
      <c r="I28" s="6">
        <f>ROUND(flat_slab(F$24,G$9/1000,I$9/1000,C28,1),4)</f>
        <v>9.7870000000000008</v>
      </c>
    </row>
    <row r="29" spans="2:10" x14ac:dyDescent="0.4">
      <c r="B29" t="s">
        <v>51</v>
      </c>
      <c r="D29" s="1"/>
      <c r="H29" s="7" t="s">
        <v>53</v>
      </c>
      <c r="I29" s="6"/>
      <c r="J29" s="4"/>
    </row>
    <row r="30" spans="2:10" x14ac:dyDescent="0.4">
      <c r="B30" t="s">
        <v>13</v>
      </c>
      <c r="C30" t="s">
        <v>22</v>
      </c>
      <c r="D30" t="s">
        <v>31</v>
      </c>
      <c r="E30" s="4" t="s">
        <v>32</v>
      </c>
      <c r="F30" s="4" t="s">
        <v>33</v>
      </c>
      <c r="G30" s="4" t="s">
        <v>34</v>
      </c>
      <c r="H30" s="4" t="s">
        <v>52</v>
      </c>
      <c r="I30" s="4" t="s">
        <v>35</v>
      </c>
      <c r="J30" s="4" t="s">
        <v>54</v>
      </c>
    </row>
    <row r="31" spans="2:10" x14ac:dyDescent="0.4">
      <c r="B31" t="s">
        <v>9</v>
      </c>
      <c r="C31" s="6">
        <f>I25</f>
        <v>29.032499999999999</v>
      </c>
      <c r="D31" s="1" t="str">
        <f>D25</f>
        <v>上端筋</v>
      </c>
      <c r="E31" s="4" t="s">
        <v>18</v>
      </c>
      <c r="F31" s="4">
        <f>F$5-H$5-bar_1(E31,4)*1.5</f>
        <v>199</v>
      </c>
      <c r="G31">
        <f t="shared" ref="G31:G32" si="5">F31*7/8</f>
        <v>174.125</v>
      </c>
      <c r="H31" s="9">
        <f>C31*1000*1000/(J$5*G31)</f>
        <v>1061.9978875268059</v>
      </c>
      <c r="I31" s="4">
        <f>bar_1(J31,1)</f>
        <v>1270</v>
      </c>
      <c r="J31" s="9" t="str">
        <f>use_bar(H31,E31,1)</f>
        <v>D13@ 100</v>
      </c>
    </row>
    <row r="32" spans="2:10" x14ac:dyDescent="0.4">
      <c r="B32" t="s">
        <v>8</v>
      </c>
      <c r="C32" s="6">
        <f>I26</f>
        <v>12.5694</v>
      </c>
      <c r="D32" s="1" t="str">
        <f>D26</f>
        <v>下端筋</v>
      </c>
      <c r="E32" s="4" t="s">
        <v>18</v>
      </c>
      <c r="F32" s="4" cm="1">
        <f t="array" ref="F32">F$5-I$5-bar_1(E32,4)*1.5</f>
        <v>179</v>
      </c>
      <c r="G32">
        <f t="shared" si="5"/>
        <v>156.625</v>
      </c>
      <c r="H32" s="9">
        <f>C32*1000*1000/(J$5*G32)</f>
        <v>511.15640933098143</v>
      </c>
      <c r="I32" s="4">
        <f t="shared" ref="I32:I35" si="6">bar_1(J32,1)</f>
        <v>635</v>
      </c>
      <c r="J32" s="9" t="str">
        <f t="shared" ref="J32:J35" si="7">use_bar(H32,E32,1)</f>
        <v>D13@ 200</v>
      </c>
    </row>
    <row r="33" spans="2:10" x14ac:dyDescent="0.4">
      <c r="B33" t="s">
        <v>15</v>
      </c>
      <c r="C33" s="6"/>
      <c r="D33" s="1"/>
      <c r="E33" s="4"/>
      <c r="F33" s="4"/>
      <c r="H33" s="9"/>
      <c r="I33" s="4"/>
      <c r="J33" s="9"/>
    </row>
    <row r="34" spans="2:10" x14ac:dyDescent="0.4">
      <c r="B34" t="s">
        <v>5</v>
      </c>
      <c r="C34" s="6">
        <f>I27</f>
        <v>9.6775000000000002</v>
      </c>
      <c r="D34" s="1" t="str">
        <f>D27</f>
        <v>上端筋</v>
      </c>
      <c r="E34" s="4" t="s">
        <v>18</v>
      </c>
      <c r="F34" s="4" cm="1">
        <f t="array" ref="F34">F$5-H$5-bar_1(E34,4)*1.5</f>
        <v>199</v>
      </c>
      <c r="G34">
        <f t="shared" ref="G34:G35" si="8">F34*7/8</f>
        <v>174.125</v>
      </c>
      <c r="H34" s="9">
        <f>C34*1000*1000/(J$5*G34)</f>
        <v>353.99929584226868</v>
      </c>
      <c r="I34" s="12">
        <f t="shared" si="6"/>
        <v>423.33333333333337</v>
      </c>
      <c r="J34" s="9" t="str">
        <f t="shared" si="7"/>
        <v>D13@ 300</v>
      </c>
    </row>
    <row r="35" spans="2:10" x14ac:dyDescent="0.4">
      <c r="B35" t="s">
        <v>16</v>
      </c>
      <c r="C35" s="6">
        <f>I28</f>
        <v>9.7870000000000008</v>
      </c>
      <c r="D35" s="1" t="str">
        <f>D28</f>
        <v>下端筋</v>
      </c>
      <c r="E35" s="4" t="s">
        <v>18</v>
      </c>
      <c r="F35" s="4" cm="1">
        <f t="array" ref="F35">F$5-I$5-bar_1(E35,4)*1.5</f>
        <v>179</v>
      </c>
      <c r="G35">
        <f t="shared" si="8"/>
        <v>156.625</v>
      </c>
      <c r="H35" s="9">
        <f>C35*1000*1000/(J$5*G35)</f>
        <v>398.00529684172</v>
      </c>
      <c r="I35" s="12">
        <f t="shared" si="6"/>
        <v>423.33333333333337</v>
      </c>
      <c r="J35" s="9" t="str">
        <f t="shared" si="7"/>
        <v>D13@ 300</v>
      </c>
    </row>
  </sheetData>
  <mergeCells count="3">
    <mergeCell ref="B4:C4"/>
    <mergeCell ref="D4:E4"/>
    <mergeCell ref="F4:G4"/>
  </mergeCells>
  <phoneticPr fontId="1"/>
  <pageMargins left="0.78740157480314965" right="0.23622047244094491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 Matsushita</dc:creator>
  <cp:lastModifiedBy>Administrator</cp:lastModifiedBy>
  <cp:lastPrinted>2020-10-28T05:38:50Z</cp:lastPrinted>
  <dcterms:created xsi:type="dcterms:W3CDTF">2020-10-24T01:40:51Z</dcterms:created>
  <dcterms:modified xsi:type="dcterms:W3CDTF">2020-10-28T08:15:13Z</dcterms:modified>
</cp:coreProperties>
</file>